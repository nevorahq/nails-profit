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440282e5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e129d286234a9d"/>
    <x:sheet xmlns:r="http://schemas.openxmlformats.org/officeDocument/2006/relationships" name="Assumptions" sheetId="2" r:id="R6dc0522be1db4792"/>
    <x:sheet xmlns:r="http://schemas.openxmlformats.org/officeDocument/2006/relationships" name="Monthly Model" sheetId="3" r:id="Radb1a7b668db4ba1"/>
    <x:sheet xmlns:r="http://schemas.openxmlformats.org/officeDocument/2006/relationships" name="Scenarios" sheetId="4" r:id="R8f0a492cb14945ce"/>
    <x:sheet xmlns:r="http://schemas.openxmlformats.org/officeDocument/2006/relationships" name="Unit Economics" sheetId="5" r:id="Ra1d6ef90414445b3"/>
    <x:sheet xmlns:r="http://schemas.openxmlformats.org/officeDocument/2006/relationships" name="Checks" sheetId="6" r:id="R7dd730700a2e4d01"/>
    <x:sheet xmlns:r="http://schemas.openxmlformats.org/officeDocument/2006/relationships" name="Sources" sheetId="7" r:id="R412a8d33ed454c37"/>
  </x:sheets>
</x:workbook>
</file>

<file path=xl/comments1.xml><?xml version="1.0" encoding="utf-8"?>
<x:comments xmlns:x="http://schemas.openxmlformats.org/spreadsheetml/2006/main">
  <x:authors>
    <x:author>tc={5246B50E-DDE1-A84E-0480-651881F2B846}</x:author>
    <x:author>tc={906508B8-0A65-0D54-BA7B-1E44DC151FBF}</x:author>
    <x:author>tc={A4073E00-1FF9-DDD9-6D50-C205A280CDE1}</x:author>
    <x:author>tc={A69445F0-4F23-333D-3ACC-635CFED3FFE0}</x:author>
    <x:author>tc={1799B1AF-17AB-4D5D-B86F-512E479F7578}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пользовательское подтверждение — 3 человека готовы платить, 2026-08-02.</x:t>
        </x:r>
      </x:text>
    </x:comment>
    <x:comment ref="B6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пользовательское подтверждение стартовой цены 300 MDL/месяц, 2026-08-02.</x:t>
        </x:r>
      </x:text>
    </x:comment>
    <x:comment ref="B8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https://mitp.md/ru/pochemu-mitp/o-edinom-naloge-7/ | Accessed: 2026-08-02.</x:t>
        </x:r>
      </x:text>
    </x:comment>
    <x:comment ref="B8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https://gov.md/index.php/en/node/5613 | Forecast average salary for 2026: 17,400 MDL.</x:t>
        </x:r>
      </x:text>
    </x:comment>
    <x:comment ref="B8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https://mitp.md/ru/pochemu-mitp/o-edinom-naloge-7/ | Minimum: 30% of forecast average salary per employee.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yyyy"/>
    <x:numFmt numFmtId="201" formatCode="0.0%;[Red](0.0%);-"/>
    <x:numFmt numFmtId="202" formatCode="#,##0;[Red](#,##0);-"/>
    <x:numFmt numFmtId="203" formatCode="#,##0.0;[Red](#,##0.0);-"/>
    <x:numFmt numFmtId="204" formatCode="mmm yy"/>
    <x:numFmt numFmtId="205" formatCode="0.0x;[Red](0.0x);-"/>
    <x:numFmt numFmtId="206" formatCode="0.0"/>
    <x:numFmt numFmtId="207" formatCode="0.00"/>
  </x:numFmts>
  <x:fonts count="12">
    <x:font>
      <x:sz val="11"/>
      <x:name val="Carlito"/>
    </x:font>
    <x:font>
      <x:sz val="10"/>
      <x:color rgb="FF241E26"/>
      <x:name val="Aptos"/>
    </x:font>
    <x:font>
      <x:b/>
      <x:sz val="20"/>
      <x:color rgb="FFFFFFFF"/>
      <x:name val="Georgia"/>
    </x:font>
    <x:font>
      <x:b/>
      <x:sz val="10"/>
      <x:color rgb="FF241E26"/>
      <x:name val="Aptos"/>
    </x:font>
    <x:font>
      <x:sz val="10"/>
      <x:color rgb="FF0000FF"/>
      <x:name val="Aptos"/>
    </x:font>
    <x:font>
      <x:b/>
      <x:sz val="11"/>
      <x:color rgb="FFFFFFFF"/>
      <x:name val="Aptos"/>
    </x:font>
    <x:font>
      <x:sz val="10"/>
      <x:color rgb="FF008000"/>
      <x:name val="Aptos"/>
    </x:font>
    <x:font>
      <x:i/>
      <x:sz val="9"/>
      <x:color rgb="FF6F6872"/>
      <x:name val="Aptos"/>
    </x:font>
    <x:font>
      <x:b/>
      <x:sz val="10"/>
      <x:color rgb="FF008000"/>
      <x:name val="Aptos"/>
    </x:font>
    <x:font>
      <x:b/>
      <x:sz val="10"/>
      <x:color rgb="FF0000FF"/>
      <x:name val="Aptos"/>
    </x:font>
    <x:font>
      <x:b/>
      <x:sz val="9"/>
      <x:color rgb="FF6F6872"/>
      <x:name val="Aptos"/>
    </x:font>
    <x:font>
      <x:b/>
      <x:sz val="18"/>
      <x:color rgb="FF241E26"/>
      <x:name val="Georgia"/>
    </x:font>
  </x:fonts>
  <x:fills count="9">
    <x:fill>
      <x:patternFill patternType="none"/>
    </x:fill>
    <x:fill>
      <x:patternFill patternType="gray125"/>
    </x:fill>
    <x:fill>
      <x:patternFill patternType="solid">
        <x:fgColor rgb="FFF7F3ED"/>
      </x:patternFill>
    </x:fill>
    <x:fill>
      <x:patternFill patternType="solid">
        <x:fgColor rgb="FF241E26"/>
      </x:patternFill>
    </x:fill>
    <x:fill>
      <x:patternFill patternType="solid">
        <x:fgColor rgb="FFFFF4CC"/>
      </x:patternFill>
    </x:fill>
    <x:fill>
      <x:patternFill patternType="solid">
        <x:fgColor rgb="FF24364B"/>
      </x:patternFill>
    </x:fill>
    <x:fill>
      <x:patternFill patternType="solid">
        <x:fgColor rgb="FFF0ECE7"/>
      </x:patternFill>
    </x:fill>
    <x:fill>
      <x:patternFill patternType="solid">
        <x:fgColor rgb="FFFFFFFF"/>
      </x:patternFill>
    </x:fill>
    <x:fill>
      <x:patternFill patternType="solid">
        <x:fgColor rgb="FFFBE7E1"/>
      </x:patternFill>
    </x:fill>
  </x:fills>
  <x:borders count="8">
    <x:border/>
    <x:border>
      <x:bottom style="thin">
        <x:color rgb="FFDDD5CC"/>
      </x:bottom>
    </x:border>
    <x:border>
      <x:top style="thin">
        <x:color rgb="FF241E26"/>
      </x:top>
    </x:border>
    <x:border>
      <x:left style="thin">
        <x:color rgb="FFDDD5CC"/>
      </x:left>
      <x:top style="thin">
        <x:color rgb="FFDDD5CC"/>
      </x:top>
    </x:border>
    <x:border>
      <x:top style="thin">
        <x:color rgb="FFDDD5CC"/>
      </x:top>
    </x:border>
    <x:border>
      <x:right style="thin">
        <x:color rgb="FFDDD5CC"/>
      </x:right>
      <x:top style="thin">
        <x:color rgb="FFDDD5CC"/>
      </x:top>
    </x:border>
    <x:border>
      <x:left style="thin">
        <x:color rgb="FFDDD5CC"/>
      </x:left>
      <x:bottom style="thin">
        <x:color rgb="FFDDD5CC"/>
      </x:bottom>
    </x:border>
    <x:border>
      <x:right style="thin">
        <x:color rgb="FFDDD5CC"/>
      </x:right>
      <x:bottom style="thin">
        <x:color rgb="FFDDD5CC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2" fontId="4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  <x:xf numFmtId="202" fontId="4" fillId="7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2" fontId="3" fillId="2" borderId="2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2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202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1" fontId="4" fillId="7" borderId="0" xfId="0" applyNumberFormat="1" applyFont="1" applyFill="1" applyBorder="1" applyAlignment="1">
      <x:alignment vertical="center" wrapText="1"/>
    </x:xf>
    <x:xf numFmtId="203" fontId="4" fillId="7" borderId="0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1" fontId="4" fillId="7" borderId="1" xfId="0" applyNumberFormat="1" applyFont="1" applyFill="1" applyBorder="1" applyAlignment="1">
      <x:alignment vertical="center" wrapText="1"/>
    </x:xf>
    <x:xf numFmtId="202" fontId="3" fillId="2" borderId="2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204" fontId="3" fillId="6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right" vertical="center" wrapText="1"/>
    </x:xf>
    <x:xf numFmtId="204" fontId="3" fillId="6" borderId="1" xfId="0" applyNumberFormat="1" applyFont="1" applyFill="1" applyBorder="1" applyAlignment="1">
      <x:alignment horizontal="right" vertical="center" wrapText="1"/>
    </x:xf>
    <x:xf numFmtId="0" fontId="3" fillId="5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horizontal="left"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205" fontId="1" fillId="2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3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203" fontId="4" fillId="7" borderId="0" xfId="0" applyNumberFormat="1" applyFont="1" applyFill="1" applyBorder="1"/>
    <x:xf numFmtId="203" fontId="1" fillId="2" borderId="0" xfId="0" applyNumberFormat="1" applyFont="1" applyFill="1" applyBorder="1"/>
    <x:xf numFmtId="203" fontId="4" fillId="7" borderId="1" xfId="0" applyNumberFormat="1" applyFont="1" applyFill="1" applyBorder="1"/>
    <x:xf numFmtId="202" fontId="4" fillId="7" borderId="0" xfId="0" applyNumberFormat="1" applyFont="1" applyFill="1" applyBorder="1"/>
    <x:xf numFmtId="202" fontId="4" fillId="7" borderId="1" xfId="0" applyNumberFormat="1" applyFont="1" applyFill="1" applyBorder="1"/>
    <x:xf numFmtId="202" fontId="9" fillId="7" borderId="1" xfId="0" applyNumberFormat="1" applyFont="1" applyFill="1" applyBorder="1" applyAlignment="1">
      <x:alignment vertical="center" wrapText="1"/>
    </x:xf>
    <x:xf numFmtId="203" fontId="6" fillId="2" borderId="0" xfId="0" applyNumberFormat="1" applyFont="1" applyFill="1" applyBorder="1"/>
    <x:xf numFmtId="202" fontId="6" fillId="2" borderId="0" xfId="0" applyNumberFormat="1" applyFont="1" applyFill="1" applyBorder="1"/>
    <x:xf numFmtId="202" fontId="1" fillId="2" borderId="0" xfId="0" applyNumberFormat="1" applyFont="1" applyFill="1" applyBorder="1"/>
    <x:xf numFmtId="207" fontId="1" fillId="2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3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1" xfId="0" applyNumberFormat="1" applyFont="1" applyFill="1" applyBorder="1"/>
    <x:xf numFmtId="0" fontId="11" fillId="7" borderId="7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202" fontId="11" fillId="7" borderId="3" xfId="0" applyNumberFormat="1" applyFont="1" applyFill="1" applyBorder="1" applyAlignment="1">
      <x:alignment horizontal="center" vertical="center"/>
    </x:xf>
    <x:xf numFmtId="205" fontId="11" fillId="7" borderId="3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C53030"/>
      </x:font>
      <x:fill>
        <x:patternFill patternType="solid">
          <x:bgColor rgb="FFFBE7E1"/>
        </x:patternFill>
      </x:fill>
    </x:dxf>
    <x:dxf>
      <x:font>
        <x:b/>
        <x:color rgb="FFC53030"/>
      </x:font>
      <x:fill>
        <x:patternFill patternType="solid">
          <x:bgColor rgb="FFFBE7E1"/>
        </x:patternFill>
      </x:fill>
    </x:dxf>
    <x:dxf>
      <x:font>
        <x:b/>
        <x:color rgb="FF2F7552"/>
      </x:font>
      <x:fill>
        <x:patternFill patternType="solid">
          <x:bgColor rgb="FFE3F1E8"/>
        </x:patternFill>
      </x:fill>
    </x:dxf>
    <x:dxf>
      <x:font>
        <x:b/>
        <x:color rgb="FFC53030"/>
      </x:font>
      <x:fill>
        <x:patternFill patternType="solid">
          <x:bgColor rgb="FFFBE7E1"/>
        </x:patternFill>
      </x:fill>
    </x:dxf>
    <x:dxf>
      <x:font>
        <x:b/>
        <x:color rgb="FF2F7552"/>
      </x:font>
      <x:fill>
        <x:patternFill patternType="solid">
          <x:bgColor rgb="FFE3F1E8"/>
        </x:patternFill>
      </x:fill>
    </x:dxf>
    <x:dxf>
      <x:font>
        <x:b/>
        <x:color rgb="FFC53030"/>
      </x:font>
      <x:fill>
        <x:patternFill patternType="solid">
          <x:bgColor rgb="FFFBE7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44dddd7804c11" /><Relationship Type="http://schemas.openxmlformats.org/officeDocument/2006/relationships/theme" Target="/xl/theme/theme1.xml" Id="Rca5c8a99d04b4e4a" /><Relationship Type="http://schemas.openxmlformats.org/officeDocument/2006/relationships/sharedStrings" Target="/xl/sharedStrings.xml" Id="Red72b22cc05d4030" /><Relationship Type="http://schemas.openxmlformats.org/officeDocument/2006/relationships/worksheet" Target="/xl/worksheets/sheet1.xml" Id="R4de129d286234a9d" /><Relationship Type="http://schemas.openxmlformats.org/officeDocument/2006/relationships/worksheet" Target="/xl/worksheets/sheet2.xml" Id="R6dc0522be1db4792" /><Relationship Type="http://schemas.openxmlformats.org/officeDocument/2006/relationships/worksheet" Target="/xl/worksheets/sheet3.xml" Id="Radb1a7b668db4ba1" /><Relationship Type="http://schemas.openxmlformats.org/officeDocument/2006/relationships/worksheet" Target="/xl/worksheets/sheet4.xml" Id="R8f0a492cb14945ce" /><Relationship Type="http://schemas.openxmlformats.org/officeDocument/2006/relationships/worksheet" Target="/xl/worksheets/sheet5.xml" Id="Ra1d6ef90414445b3" /><Relationship Type="http://schemas.openxmlformats.org/officeDocument/2006/relationships/worksheet" Target="/xl/worksheets/sheet6.xml" Id="R7dd730700a2e4d01" /><Relationship Type="http://schemas.openxmlformats.org/officeDocument/2006/relationships/worksheet" Target="/xl/worksheets/sheet7.xml" Id="R412a8d33ed454c37" /><Relationship Type="http://schemas.microsoft.com/office/2017/10/relationships/person" Target="/xl/persons/person.xml" Id="R5bef12ee29fc43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895034fd7645d5" /><Relationship Type="http://schemas.openxmlformats.org/officeDocument/2006/relationships/chart" Target="/xl/drawings/charts/chart2.xml" Id="Ra3254efcb34444ff" /><Relationship Type="http://schemas.openxmlformats.org/officeDocument/2006/relationships/chart" Target="/xl/drawings/charts/chart3.xml" Id="Re14ad80305bb4d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и EBITDA, MDL/мес.</a:t>
            </a:r>
          </a:p>
        </c:rich>
      </c:tx>
    </c:title>
    <c:plotArea>
      <c:lineChart>
        <c:grouping val="standard"/>
        <c:ser>
          <c:idx val="0"/>
          <c:order val="0"/>
          <c:tx>
            <c:v>MRR</c:v>
          </c:tx>
          <c:marker>
            <c:symbol val="none"/>
          </c:marker>
          <c:cat>
            <c:strRef>
              <c:f>'Summary'!$A$66:$A$101</c:f>
              <c:strCache>
                <c:ptCount val="0"/>
              </c:strCache>
            </c:strRef>
          </c:cat>
          <c:val>
            <c:numRef>
              <c:f>'Summary'!$B$66:$B$101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'Summary'!$A$66:$A$101</c:f>
              <c:strCache>
                <c:ptCount val="0"/>
              </c:strCache>
            </c:strRef>
          </c:cat>
          <c:val>
            <c:numRef>
              <c:f>'Summary'!$C$66:$C$101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Денежный остаток, MDL</a:t>
            </a:r>
          </a:p>
        </c:rich>
      </c:tx>
    </c:title>
    <c:plotArea>
      <c:lineChart>
        <c:grouping val="standard"/>
        <c:ser>
          <c:idx val="0"/>
          <c:order val="0"/>
          <c:tx>
            <c:v>Ending cash</c:v>
          </c:tx>
          <c:marker>
            <c:symbol val="none"/>
          </c:marker>
          <c:cat>
            <c:strRef>
              <c:f>'Summary'!$D$66:$D$101</c:f>
              <c:strCache>
                <c:ptCount val="0"/>
              </c:strCache>
            </c:strRef>
          </c:cat>
          <c:val>
            <c:numRef>
              <c:f>'Summary'!$E$66:$E$101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Активные аккаунты</a:t>
            </a:r>
          </a:p>
        </c:rich>
      </c:tx>
    </c:title>
    <c:plotArea>
      <c:lineChart>
        <c:grouping val="standard"/>
        <c:ser>
          <c:idx val="0"/>
          <c:order val="0"/>
          <c:tx>
            <c:v>Active accounts</c:v>
          </c:tx>
          <c:marker>
            <c:symbol val="none"/>
          </c:marker>
          <c:cat>
            <c:strRef>
              <c:f>'Summary'!$F$66:$F$101</c:f>
              <c:strCache>
                <c:ptCount val="0"/>
              </c:strCache>
            </c:strRef>
          </c:cat>
          <c:val>
            <c:numRef>
              <c:f>'Summary'!$G$66:$G$101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895034fd7645d5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254efcb34444ff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4ad80305bb4de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0BFEA2E8-4C3E-4CDC-A8FD-AAC80277005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8-03T18:40:13.765" personId="{0BFEA2E8-4C3E-4CDC-A8FD-AAC802770051}" id="{5246B50E-DDE1-A84E-0480-651881F2B846}">
    <xltc:text>Source: пользовательское подтверждение — 3 человека готовы платить, 2026-08-02.</xltc:text>
  </xltc:threadedComment>
  <xltc:threadedComment ref="B62" dT="2026-08-03T18:40:13.765" personId="{0BFEA2E8-4C3E-4CDC-A8FD-AAC802770051}" id="{906508B8-0A65-0D54-BA7B-1E44DC151FBF}">
    <xltc:text>Source: пользовательское подтверждение стартовой цены 300 MDL/месяц, 2026-08-02.</xltc:text>
  </xltc:threadedComment>
  <xltc:threadedComment ref="B82" dT="2026-08-03T18:40:13.765" personId="{0BFEA2E8-4C3E-4CDC-A8FD-AAC802770051}" id="{A4073E00-1FF9-DDD9-6D50-C205A280CDE1}">
    <xltc:text>Source: https://mitp.md/ru/pochemu-mitp/o-edinom-naloge-7/ | Accessed: 2026-08-02.</xltc:text>
  </xltc:threadedComment>
  <xltc:threadedComment ref="B83" dT="2026-08-03T18:40:13.765" personId="{0BFEA2E8-4C3E-4CDC-A8FD-AAC802770051}" id="{A69445F0-4F23-333D-3ACC-635CFED3FFE0}">
    <xltc:text>Source: https://gov.md/index.php/en/node/5613 | Forecast average salary for 2026: 17,400 MDL.</xltc:text>
  </xltc:threadedComment>
  <xltc:threadedComment ref="B84" dT="2026-08-03T18:40:13.765" personId="{0BFEA2E8-4C3E-4CDC-A8FD-AAC802770051}" id="{1799B1AF-17AB-4D5D-B86F-512E479F7578}">
    <xltc:text>Source: https://mitp.md/ru/pochemu-mitp/o-edinom-naloge-7/ | Minimum: 30% of forecast average salary per employee.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38535b2463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6ae4962c93749f0" /><Relationship Type="http://schemas.openxmlformats.org/officeDocument/2006/relationships/vmlDrawing" Target="/xl/drawings/vmldrawing.vml" Id="R236387b1bf6b47cb" /><Relationship Type="http://schemas.microsoft.com/office/2017/10/relationships/threadedComment" Target="/xl/threadedcomments/threadedcomment.xml" Id="R2be9e1ec21e84d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6" t="str">
        <x:v>Nail Profit OS — Финансовая модель 1.1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21" t="str">
        <x:v>Сценарий</x:v>
      </x:c>
      <x:c r="B3" s="84" t="str">
        <x:f>'Assumptions'!$B$3</x:f>
        <x:v>Base</x:v>
      </x:c>
      <x:c r="C3" s="21" t="str">
        <x:v>Налоговый режим</x:v>
      </x:c>
      <x:c r="D3" s="84" t="str">
        <x:f>'Assumptions'!$B$6</x:f>
        <x:v>None / Pre-tax</x:v>
      </x:c>
      <x:c r="E3" s="21" t="str">
        <x:v>Период</x:v>
      </x:c>
      <x:c r="F3" s="21" t="str">
        <x:v>Sep 2026 – Aug 2029</x:v>
      </x:c>
      <x:c r="G3" s="21" t="str">
        <x:v>Валюта</x:v>
      </x:c>
      <x:c r="H3" s="21" t="str">
        <x:v>MDL</x:v>
      </x:c>
      <x:c r="I3" s="21" t="str">
        <x:v>Версия</x:v>
      </x:c>
      <x:c r="J3" s="21" t="str">
        <x:v>1.1</x:v>
      </x:c>
      <x:c r="K3" s="21" t="str">
        <x:v>Статус</x:v>
      </x:c>
      <x:c r="L3" s="84" t="str">
        <x:f>'Checks'!$B$3</x:f>
        <x:v>PASS</x:v>
      </x:c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87" t="str">
        <x:v>Аккаунты, M36</x:v>
      </x:c>
      <x:c r="B5" s="87"/>
      <x:c r="C5" s="87"/>
      <x:c r="D5" s="87" t="str">
        <x:v>MRR, M36</x:v>
      </x:c>
      <x:c r="E5" s="87"/>
      <x:c r="F5" s="87"/>
      <x:c r="G5" s="87" t="str">
        <x:v>EBITDA, M36</x:v>
      </x:c>
      <x:c r="H5" s="87"/>
      <x:c r="I5" s="87"/>
      <x:c r="J5" s="87" t="str">
        <x:v>Cash, M36</x:v>
      </x:c>
      <x:c r="K5" s="87"/>
      <x:c r="L5" s="8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107" t="n">
        <x:f>'Monthly Model'!$AL$12</x:f>
        <x:v>549.7545542930199</x:v>
      </x:c>
      <x:c r="B6" s="102"/>
      <x:c r="C6" s="103"/>
      <x:c r="D6" s="107" t="n">
        <x:f>'Monthly Model'!$AL$17</x:f>
        <x:v>403614.61544739007</x:v>
      </x:c>
      <x:c r="E6" s="102"/>
      <x:c r="F6" s="103"/>
      <x:c r="G6" s="107" t="n">
        <x:f>'Monthly Model'!$AL$29</x:f>
        <x:v>180441.9026180888</x:v>
      </x:c>
      <x:c r="H6" s="102"/>
      <x:c r="I6" s="103"/>
      <x:c r="J6" s="107" t="n">
        <x:f>'Monthly Model'!$AL$39</x:f>
        <x:v>1206800.996963209</x:v>
      </x:c>
      <x:c r="K6" s="102"/>
      <x:c r="L6" s="103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104"/>
      <x:c r="B7" s="105"/>
      <x:c r="C7" s="106"/>
      <x:c r="D7" s="104"/>
      <x:c r="E7" s="105"/>
      <x:c r="F7" s="106"/>
      <x:c r="G7" s="104"/>
      <x:c r="H7" s="105"/>
      <x:c r="I7" s="106"/>
      <x:c r="J7" s="104"/>
      <x:c r="K7" s="105"/>
      <x:c r="L7" s="106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87" t="str">
        <x:v>Выручка, 36 мес.</x:v>
      </x:c>
      <x:c r="B9" s="87"/>
      <x:c r="C9" s="87"/>
      <x:c r="D9" s="87" t="str">
        <x:v>До целевого резерва</x:v>
      </x:c>
      <x:c r="E9" s="87"/>
      <x:c r="F9" s="87"/>
      <x:c r="G9" s="87" t="str">
        <x:v>Первый EBITDA+ месяц</x:v>
      </x:c>
      <x:c r="H9" s="87"/>
      <x:c r="I9" s="87"/>
      <x:c r="J9" s="87" t="str">
        <x:v>LTV / CAC</x:v>
      </x:c>
      <x:c r="K9" s="87"/>
      <x:c r="L9" s="8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107" t="n">
        <x:f>SUM('Monthly Model'!$C$18:$AL$18)</x:f>
        <x:v>4888548.411790618</x:v>
      </x:c>
      <x:c r="B10" s="102"/>
      <x:c r="C10" s="103"/>
      <x:c r="D10" s="107" t="n">
        <x:f>MAX('Monthly Model'!$C$42:$AL$42)</x:f>
        <x:v>110997.00164553398</x:v>
      </x:c>
      <x:c r="E10" s="102"/>
      <x:c r="F10" s="103"/>
      <x:c r="G10" s="107" t="n">
        <x:f>IF(MAX('Monthly Model'!$C$40:$AL$40)=0,0,MAX('Monthly Model'!$C$40:$AL$40))</x:f>
        <x:v>18</x:v>
      </x:c>
      <x:c r="H10" s="102"/>
      <x:c r="I10" s="103"/>
      <x:c r="J10" s="108" t="n">
        <x:f>'Unit Economics'!$B$13</x:f>
        <x:v>13.154761904761905</x:v>
      </x:c>
      <x:c r="K10" s="102"/>
      <x:c r="L10" s="103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104"/>
      <x:c r="B11" s="105"/>
      <x:c r="C11" s="106"/>
      <x:c r="D11" s="104"/>
      <x:c r="E11" s="105"/>
      <x:c r="F11" s="106"/>
      <x:c r="G11" s="104"/>
      <x:c r="H11" s="105"/>
      <x:c r="I11" s="106"/>
      <x:c r="J11" s="104"/>
      <x:c r="K11" s="105"/>
      <x:c r="L11" s="106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 ht="23" customHeight="1">
      <x:c r="A31" s="7"/>
      <x:c r="B31" s="7"/>
      <x:c r="C31" s="7"/>
      <x:c r="D31" s="7"/>
      <x:c r="E31" s="7"/>
      <x:c r="F31" s="7"/>
      <x:c r="G31" s="16" t="str">
        <x:v>Годовой итог выбранного сценария</x:v>
      </x:c>
      <x:c r="H31" s="16"/>
      <x:c r="I31" s="16"/>
      <x:c r="J31" s="16"/>
      <x:c r="K31" s="16"/>
      <x:c r="L31" s="16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/>
      <x:c r="B32" s="7"/>
      <x:c r="C32" s="7"/>
      <x:c r="D32" s="7"/>
      <x:c r="E32" s="7"/>
      <x:c r="F32" s="7"/>
      <x:c r="G32" s="21" t="str">
        <x:v>Показатель</x:v>
      </x:c>
      <x:c r="H32" s="21" t="str">
        <x:v>Year 1</x:v>
      </x:c>
      <x:c r="I32" s="21" t="str">
        <x:v>Year 2</x:v>
      </x:c>
      <x:c r="J32" s="21" t="str">
        <x:v>Year 3</x:v>
      </x:c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/>
      <x:c r="B33" s="7"/>
      <x:c r="C33" s="7"/>
      <x:c r="D33" s="7"/>
      <x:c r="E33" s="7"/>
      <x:c r="F33" s="7"/>
      <x:c r="G33" s="7" t="str">
        <x:v>Выручка</x:v>
      </x:c>
      <x:c r="H33" s="31" t="n">
        <x:f>SUM('Monthly Model'!C$18:N$18)</x:f>
        <x:v>197260.23560224677</x:v>
      </x:c>
      <x:c r="I33" s="31" t="n">
        <x:f>SUM('Monthly Model'!O$18:Z$18)</x:f>
        <x:v>1143283.0108655342</x:v>
      </x:c>
      <x:c r="J33" s="31" t="n">
        <x:f>SUM('Monthly Model'!AA$18:AL$18)</x:f>
        <x:v>3548005.1653228365</x:v>
      </x:c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7"/>
      <x:c r="B34" s="7"/>
      <x:c r="C34" s="7"/>
      <x:c r="D34" s="7"/>
      <x:c r="E34" s="7"/>
      <x:c r="F34" s="7"/>
      <x:c r="G34" s="7" t="str">
        <x:v>Валовая прибыль</x:v>
      </x:c>
      <x:c r="H34" s="31" t="n">
        <x:f>SUM('Monthly Model'!C$24:N$24)</x:f>
        <x:v>163725.9955498648</x:v>
      </x:c>
      <x:c r="I34" s="31" t="n">
        <x:f>SUM('Monthly Model'!O$24:Z$24)</x:f>
        <x:v>971790.559235704</x:v>
      </x:c>
      <x:c r="J34" s="31" t="n">
        <x:f>SUM('Monthly Model'!AA$24:AL$24)</x:f>
        <x:v>3051284.4421776393</x:v>
      </x:c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7"/>
      <x:c r="B35" s="7"/>
      <x:c r="C35" s="7"/>
      <x:c r="D35" s="7"/>
      <x:c r="E35" s="7"/>
      <x:c r="F35" s="7"/>
      <x:c r="G35" s="7" t="str">
        <x:v>OPEX</x:v>
      </x:c>
      <x:c r="H35" s="31" t="n">
        <x:f>SUM('Monthly Model'!C$28:N$28)</x:f>
        <x:v>450000</x:v>
      </x:c>
      <x:c r="I35" s="31" t="n">
        <x:f>SUM('Monthly Model'!O$28:Z$28)</x:f>
        <x:v>900000</x:v>
      </x:c>
      <x:c r="J35" s="31" t="n">
        <x:f>SUM('Monthly Model'!AA$28:AL$28)</x:f>
        <x:v>2000000.0000000002</x:v>
      </x:c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7"/>
      <x:c r="B36" s="7"/>
      <x:c r="C36" s="7"/>
      <x:c r="D36" s="7"/>
      <x:c r="E36" s="7"/>
      <x:c r="F36" s="7"/>
      <x:c r="G36" s="36" t="str">
        <x:v>EBITDA</x:v>
      </x:c>
      <x:c r="H36" s="37" t="n">
        <x:f>SUM('Monthly Model'!C$29:N$29)</x:f>
        <x:v>-286274.0044501351</x:v>
      </x:c>
      <x:c r="I36" s="37" t="n">
        <x:f>SUM('Monthly Model'!O$29:Z$29)</x:f>
        <x:v>71790.55923570402</x:v>
      </x:c>
      <x:c r="J36" s="37" t="n">
        <x:f>SUM('Monthly Model'!AA$29:AL$29)</x:f>
        <x:v>1051284.44217764</x:v>
      </x:c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/>
      <x:c r="B37" s="7"/>
      <x:c r="C37" s="7"/>
      <x:c r="D37" s="7"/>
      <x:c r="E37" s="7"/>
      <x:c r="F37" s="7"/>
      <x:c r="G37" s="8" t="str">
        <x:v>Операц. результат после налога</x:v>
      </x:c>
      <x:c r="H37" s="35" t="n">
        <x:f>SUM('Monthly Model'!C$36:N$36)</x:f>
        <x:v>-286274.0044501351</x:v>
      </x:c>
      <x:c r="I37" s="35" t="n">
        <x:f>SUM('Monthly Model'!O$36:Z$36)</x:f>
        <x:v>71790.55923570402</x:v>
      </x:c>
      <x:c r="J37" s="35" t="n">
        <x:f>SUM('Monthly Model'!AA$36:AL$36)</x:f>
        <x:v>1051284.44217764</x:v>
      </x:c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/>
      <x:c r="B38" s="7"/>
      <x:c r="C38" s="7"/>
      <x:c r="D38" s="7"/>
      <x:c r="E38" s="7"/>
      <x:c r="F38" s="7"/>
      <x:c r="G38" s="8" t="str">
        <x:v>Аккаунты на конец</x:v>
      </x:c>
      <x:c r="H38" s="64" t="n">
        <x:f>'Monthly Model'!N$12</x:f>
        <x:v>65.17294495972793</x:v>
      </x:c>
      <x:c r="I38" s="64" t="n">
        <x:f>'Monthly Model'!Z$12</x:f>
        <x:v>218.70907877313516</x:v>
      </x:c>
      <x:c r="J38" s="64" t="n">
        <x:f>'Monthly Model'!AL$12</x:f>
        <x:v>549.7545542930199</x:v>
      </x:c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/>
      <x:c r="B39" s="7"/>
      <x:c r="C39" s="7"/>
      <x:c r="D39" s="7"/>
      <x:c r="E39" s="7"/>
      <x:c r="F39" s="7"/>
      <x:c r="G39" s="8" t="str">
        <x:v>Cash на конец</x:v>
      </x:c>
      <x:c r="H39" s="35" t="n">
        <x:f>'Monthly Model'!N$39</x:f>
        <x:v>83725.99554986489</x:v>
      </x:c>
      <x:c r="I39" s="35" t="n">
        <x:f>'Monthly Model'!Z$39</x:f>
        <x:v>155516.5547855689</x:v>
      </x:c>
      <x:c r="J39" s="35" t="n">
        <x:f>'Monthly Model'!AL$39</x:f>
        <x:v>1206800.996963209</x:v>
      </x:c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/>
      <x:c r="B42" s="7"/>
      <x:c r="C42" s="7"/>
      <x:c r="D42" s="7"/>
      <x:c r="E42" s="7"/>
      <x:c r="F42" s="7"/>
      <x:c r="G42" s="44" t="str">
        <x:v>Решение: 300 MDL — цена проверки спроса, а не устойчивая конечная цена. Модель должна подтверждаться фактическими оплатами, продлениями и временем поддержки. Переключайте сценарий и налоговый режим на листе Assumptions.</x:v>
      </x:c>
      <x:c r="H42" s="44"/>
      <x:c r="I42" s="44"/>
      <x:c r="J42" s="44"/>
      <x:c r="K42" s="44"/>
      <x:c r="L42" s="44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/>
      <x:c r="B43" s="7"/>
      <x:c r="C43" s="7"/>
      <x:c r="D43" s="7"/>
      <x:c r="E43" s="7"/>
      <x:c r="F43" s="7"/>
      <x:c r="G43" s="44"/>
      <x:c r="H43" s="44"/>
      <x:c r="I43" s="44"/>
      <x:c r="J43" s="44"/>
      <x:c r="K43" s="44"/>
      <x:c r="L43" s="44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/>
      <x:c r="B44" s="7"/>
      <x:c r="C44" s="7"/>
      <x:c r="D44" s="7"/>
      <x:c r="E44" s="7"/>
      <x:c r="F44" s="7"/>
      <x:c r="G44" s="44"/>
      <x:c r="H44" s="44"/>
      <x:c r="I44" s="44"/>
      <x:c r="J44" s="44"/>
      <x:c r="K44" s="44"/>
      <x:c r="L44" s="44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/>
      <x:c r="B45" s="7"/>
      <x:c r="C45" s="7"/>
      <x:c r="D45" s="7"/>
      <x:c r="E45" s="7"/>
      <x:c r="F45" s="7"/>
      <x:c r="G45" s="44"/>
      <x:c r="H45" s="44"/>
      <x:c r="I45" s="44"/>
      <x:c r="J45" s="44"/>
      <x:c r="K45" s="44"/>
      <x:c r="L45" s="44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/>
      <x:c r="B46" s="7"/>
      <x:c r="C46" s="7"/>
      <x:c r="D46" s="7"/>
      <x:c r="E46" s="7"/>
      <x:c r="F46" s="7"/>
      <x:c r="G46" s="44"/>
      <x:c r="H46" s="44"/>
      <x:c r="I46" s="44"/>
      <x:c r="J46" s="44"/>
      <x:c r="K46" s="44"/>
      <x:c r="L46" s="44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/>
      <x:c r="B47" s="7"/>
      <x:c r="C47" s="7"/>
      <x:c r="D47" s="7"/>
      <x:c r="E47" s="7"/>
      <x:c r="F47" s="7"/>
      <x:c r="G47" s="44"/>
      <x:c r="H47" s="44"/>
      <x:c r="I47" s="44"/>
      <x:c r="J47" s="44"/>
      <x:c r="K47" s="44"/>
      <x:c r="L47" s="44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21" t="str">
        <x:v>Month</x:v>
      </x:c>
      <x:c r="B65" s="21" t="str">
        <x:v>MRR</x:v>
      </x:c>
      <x:c r="C65" s="21" t="str">
        <x:v>EBITDA</x:v>
      </x:c>
      <x:c r="D65" s="21" t="str">
        <x:v>Month</x:v>
      </x:c>
      <x:c r="E65" s="21" t="str">
        <x:v>Ending cash</x:v>
      </x:c>
      <x:c r="F65" s="21" t="str">
        <x:v>Month</x:v>
      </x:c>
      <x:c r="G65" s="21" t="str">
        <x:v>Active accounts</x:v>
      </x:c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29" t="str">
        <x:f>TEXT('Monthly Model'!C$5,"mmm yy")</x:f>
        <x:v>Sep 26</x:v>
      </x:c>
      <x:c r="B66" s="31" t="n">
        <x:f>'Monthly Model'!C$17</x:f>
        <x:v>2725.25</x:v>
      </x:c>
      <x:c r="C66" s="31" t="n">
        <x:f>'Monthly Model'!C$29</x:f>
        <x:v>-35238.0425</x:v>
      </x:c>
      <x:c r="D66" s="29" t="str">
        <x:f>TEXT('Monthly Model'!C$5,"mmm yy")</x:f>
        <x:v>Sep 26</x:v>
      </x:c>
      <x:c r="E66" s="31" t="n">
        <x:f>'Monthly Model'!C$39</x:f>
        <x:v>334761.9575</x:v>
      </x:c>
      <x:c r="F66" s="29" t="str">
        <x:f>TEXT('Monthly Model'!C$5,"mmm yy")</x:f>
        <x:v>Sep 26</x:v>
      </x:c>
      <x:c r="G66" s="32" t="n">
        <x:f>'Monthly Model'!C$12</x:f>
        <x:v>6.91</x:v>
      </x:c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29" t="str">
        <x:f>TEXT('Monthly Model'!D$5,"mmm yy")</x:f>
        <x:v>Oct 26</x:v>
      </x:c>
      <x:c r="B67" s="31" t="n">
        <x:f>'Monthly Model'!D$17</x:f>
        <x:v>4843.4925</x:v>
      </x:c>
      <x:c r="C67" s="31" t="n">
        <x:f>'Monthly Model'!D$29</x:f>
        <x:v>-33479.901225</x:v>
      </x:c>
      <x:c r="D67" s="29" t="str">
        <x:f>TEXT('Monthly Model'!D$5,"mmm yy")</x:f>
        <x:v>Oct 26</x:v>
      </x:c>
      <x:c r="E67" s="31" t="n">
        <x:f>'Monthly Model'!D$39</x:f>
        <x:v>301282.05627500004</x:v>
      </x:c>
      <x:c r="F67" s="29" t="str">
        <x:f>TEXT('Monthly Model'!D$5,"mmm yy")</x:f>
        <x:v>Oct 26</x:v>
      </x:c>
      <x:c r="G67" s="32" t="n">
        <x:f>'Monthly Model'!D$12</x:f>
        <x:v>10.7027</x:v>
      </x:c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29" t="str">
        <x:f>TEXT('Monthly Model'!E$5,"mmm yy")</x:f>
        <x:v>Nov 26</x:v>
      </x:c>
      <x:c r="B68" s="31" t="n">
        <x:f>'Monthly Model'!E$17</x:f>
        <x:v>6898.187725</x:v>
      </x:c>
      <x:c r="C68" s="31" t="n">
        <x:f>'Monthly Model'!E$29</x:f>
        <x:v>-31774.50418825</x:v>
      </x:c>
      <x:c r="D68" s="29" t="str">
        <x:f>TEXT('Monthly Model'!E$5,"mmm yy")</x:f>
        <x:v>Nov 26</x:v>
      </x:c>
      <x:c r="E68" s="31" t="n">
        <x:f>'Monthly Model'!E$39</x:f>
        <x:v>269507.55208675005</x:v>
      </x:c>
      <x:c r="F68" s="29" t="str">
        <x:f>TEXT('Monthly Model'!E$5,"mmm yy")</x:f>
        <x:v>Nov 26</x:v>
      </x:c>
      <x:c r="G68" s="32" t="n">
        <x:f>'Monthly Model'!E$12</x:f>
        <x:v>14.381619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29" t="str">
        <x:f>TEXT('Monthly Model'!F$5,"mmm yy")</x:f>
        <x:v>Dec 26</x:v>
      </x:c>
      <x:c r="B69" s="31" t="n">
        <x:f>'Monthly Model'!F$17</x:f>
        <x:v>8891.24209325</x:v>
      </x:c>
      <x:c r="C69" s="31" t="n">
        <x:f>'Monthly Model'!F$29</x:f>
        <x:v>-30120.2690626025</x:v>
      </x:c>
      <x:c r="D69" s="29" t="str">
        <x:f>TEXT('Monthly Model'!F$5,"mmm yy")</x:f>
        <x:v>Dec 26</x:v>
      </x:c>
      <x:c r="E69" s="31" t="n">
        <x:f>'Monthly Model'!F$39</x:f>
        <x:v>239387.28302414756</x:v>
      </x:c>
      <x:c r="F69" s="29" t="str">
        <x:f>TEXT('Monthly Model'!F$5,"mmm yy")</x:f>
        <x:v>Dec 26</x:v>
      </x:c>
      <x:c r="G69" s="32" t="n">
        <x:f>'Monthly Model'!F$12</x:f>
        <x:v>17.95017043</x:v>
      </x:c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29" t="str">
        <x:f>TEXT('Monthly Model'!G$5,"mmm yy")</x:f>
        <x:v>Jan 27</x:v>
      </x:c>
      <x:c r="B70" s="31" t="n">
        <x:f>'Monthly Model'!G$17</x:f>
        <x:v>10824.5048304525</x:v>
      </x:c>
      <x:c r="C70" s="31" t="n">
        <x:f>'Monthly Model'!G$29</x:f>
        <x:v>-28515.660990724424</x:v>
      </x:c>
      <x:c r="D70" s="29" t="str">
        <x:f>TEXT('Monthly Model'!G$5,"mmm yy")</x:f>
        <x:v>Jan 27</x:v>
      </x:c>
      <x:c r="E70" s="31" t="n">
        <x:f>'Monthly Model'!G$39</x:f>
        <x:v>210871.62203342313</x:v>
      </x:c>
      <x:c r="F70" s="29" t="str">
        <x:f>TEXT('Monthly Model'!G$5,"mmm yy")</x:f>
        <x:v>Jan 27</x:v>
      </x:c>
      <x:c r="G70" s="32" t="n">
        <x:f>'Monthly Model'!G$12</x:f>
        <x:v>21.4116653171</x:v>
      </x:c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29" t="str">
        <x:f>TEXT('Monthly Model'!H$5,"mmm yy")</x:f>
        <x:v>Feb 27</x:v>
      </x:c>
      <x:c r="B71" s="31" t="n">
        <x:f>'Monthly Model'!H$17</x:f>
        <x:v>12699.769685538924</x:v>
      </x:c>
      <x:c r="C71" s="31" t="n">
        <x:f>'Monthly Model'!H$29</x:f>
        <x:v>-26959.191161002695</x:v>
      </x:c>
      <x:c r="D71" s="29" t="str">
        <x:f>TEXT('Monthly Model'!H$5,"mmm yy")</x:f>
        <x:v>Feb 27</x:v>
      </x:c>
      <x:c r="E71" s="31" t="n">
        <x:f>'Monthly Model'!H$39</x:f>
        <x:v>183912.43087242043</x:v>
      </x:c>
      <x:c r="F71" s="29" t="str">
        <x:f>TEXT('Monthly Model'!H$5,"mmm yy")</x:f>
        <x:v>Feb 27</x:v>
      </x:c>
      <x:c r="G71" s="32" t="n">
        <x:f>'Monthly Model'!H$12</x:f>
        <x:v>24.769315357587</x:v>
      </x:c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29" t="str">
        <x:f>TEXT('Monthly Model'!I$5,"mmm yy")</x:f>
        <x:v>Mar 27</x:v>
      </x:c>
      <x:c r="B72" s="31" t="n">
        <x:f>'Monthly Model'!I$17</x:f>
        <x:v>15618.776594972758</x:v>
      </x:c>
      <x:c r="C72" s="31" t="n">
        <x:f>'Monthly Model'!I$29</x:f>
        <x:v>-24536.41542617261</x:v>
      </x:c>
      <x:c r="D72" s="29" t="str">
        <x:f>TEXT('Monthly Model'!I$5,"mmm yy")</x:f>
        <x:v>Mar 27</x:v>
      </x:c>
      <x:c r="E72" s="31" t="n">
        <x:f>'Monthly Model'!I$39</x:f>
        <x:v>159376.01544624782</x:v>
      </x:c>
      <x:c r="F72" s="29" t="str">
        <x:f>TEXT('Monthly Model'!I$5,"mmm yy")</x:f>
        <x:v>Mar 27</x:v>
      </x:c>
      <x:c r="G72" s="32" t="n">
        <x:f>'Monthly Model'!I$12</x:f>
        <x:v>32.0262358968594</x:v>
      </x:c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29" t="str">
        <x:f>TEXT('Monthly Model'!J$5,"mmm yy")</x:f>
        <x:v>Apr 27</x:v>
      </x:c>
      <x:c r="B73" s="31" t="n">
        <x:f>'Monthly Model'!J$17</x:f>
        <x:v>19550.213297123577</x:v>
      </x:c>
      <x:c r="C73" s="31" t="n">
        <x:f>'Monthly Model'!J$29</x:f>
        <x:v>-21273.32296338743</x:v>
      </x:c>
      <x:c r="D73" s="29" t="str">
        <x:f>TEXT('Monthly Model'!J$5,"mmm yy")</x:f>
        <x:v>Apr 27</x:v>
      </x:c>
      <x:c r="E73" s="31" t="n">
        <x:f>'Monthly Model'!J$39</x:f>
        <x:v>138102.6924828604</x:v>
      </x:c>
      <x:c r="F73" s="29" t="str">
        <x:f>TEXT('Monthly Model'!J$5,"mmm yy")</x:f>
        <x:v>Apr 27</x:v>
      </x:c>
      <x:c r="G73" s="32" t="n">
        <x:f>'Monthly Model'!J$12</x:f>
        <x:v>39.065448819953616</x:v>
      </x:c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29" t="str">
        <x:f>TEXT('Monthly Model'!K$5,"mmm yy")</x:f>
        <x:v>May 27</x:v>
      </x:c>
      <x:c r="B74" s="31" t="n">
        <x:f>'Monthly Model'!K$17</x:f>
        <x:v>23363.70689820987</x:v>
      </x:c>
      <x:c r="C74" s="31" t="n">
        <x:f>'Monthly Model'!K$29</x:f>
        <x:v>-18108.123274485806</x:v>
      </x:c>
      <x:c r="D74" s="29" t="str">
        <x:f>TEXT('Monthly Model'!K$5,"mmm yy")</x:f>
        <x:v>May 27</x:v>
      </x:c>
      <x:c r="E74" s="31" t="n">
        <x:f>'Monthly Model'!K$39</x:f>
        <x:v>119994.5692083746</x:v>
      </x:c>
      <x:c r="F74" s="29" t="str">
        <x:f>TEXT('Monthly Model'!K$5,"mmm yy")</x:f>
        <x:v>May 27</x:v>
      </x:c>
      <x:c r="G74" s="32" t="n">
        <x:f>'Monthly Model'!K$12</x:f>
        <x:v>45.89348535535501</x:v>
      </x:c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29" t="str">
        <x:f>TEXT('Monthly Model'!L$5,"mmm yy")</x:f>
        <x:v>Jun 27</x:v>
      </x:c>
      <x:c r="B75" s="31" t="n">
        <x:f>'Monthly Model'!L$17</x:f>
        <x:v>27062.79569126358</x:v>
      </x:c>
      <x:c r="C75" s="31" t="n">
        <x:f>'Monthly Model'!L$29</x:f>
        <x:v>-15037.87957625123</x:v>
      </x:c>
      <x:c r="D75" s="29" t="str">
        <x:f>TEXT('Monthly Model'!L$5,"mmm yy")</x:f>
        <x:v>Jun 27</x:v>
      </x:c>
      <x:c r="E75" s="31" t="n">
        <x:f>'Monthly Model'!L$39</x:f>
        <x:v>104956.68963212337</x:v>
      </x:c>
      <x:c r="F75" s="29" t="str">
        <x:f>TEXT('Monthly Model'!L$5,"mmm yy")</x:f>
        <x:v>Jun 27</x:v>
      </x:c>
      <x:c r="G75" s="32" t="n">
        <x:f>'Monthly Model'!L$12</x:f>
        <x:v>52.51668079469436</x:v>
      </x:c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29" t="str">
        <x:f>TEXT('Monthly Model'!M$5,"mmm yy")</x:f>
        <x:v>Jul 27</x:v>
      </x:c>
      <x:c r="B76" s="31" t="n">
        <x:f>'Monthly Model'!M$17</x:f>
        <x:v>30650.911820525667</x:v>
      </x:c>
      <x:c r="C76" s="31" t="n">
        <x:f>'Monthly Model'!M$29</x:f>
        <x:v>-12059.743188963697</x:v>
      </x:c>
      <x:c r="D76" s="29" t="str">
        <x:f>TEXT('Monthly Model'!M$5,"mmm yy")</x:f>
        <x:v>Jul 27</x:v>
      </x:c>
      <x:c r="E76" s="31" t="n">
        <x:f>'Monthly Model'!M$39</x:f>
        <x:v>92896.94644315967</x:v>
      </x:c>
      <x:c r="F76" s="29" t="str">
        <x:f>TEXT('Monthly Model'!M$5,"mmm yy")</x:f>
        <x:v>Jul 27</x:v>
      </x:c>
      <x:c r="G76" s="32" t="n">
        <x:f>'Monthly Model'!M$12</x:f>
        <x:v>58.94118037085353</x:v>
      </x:c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29" t="str">
        <x:f>TEXT('Monthly Model'!N$5,"mmm yy")</x:f>
        <x:v>Aug 27</x:v>
      </x:c>
      <x:c r="B77" s="31" t="n">
        <x:f>'Monthly Model'!N$17</x:f>
        <x:v>34131.3844659099</x:v>
      </x:c>
      <x:c r="C77" s="31" t="n">
        <x:f>'Monthly Model'!N$29</x:f>
        <x:v>-9170.950893294787</x:v>
      </x:c>
      <x:c r="D77" s="29" t="str">
        <x:f>TEXT('Monthly Model'!N$5,"mmm yy")</x:f>
        <x:v>Aug 27</x:v>
      </x:c>
      <x:c r="E77" s="31" t="n">
        <x:f>'Monthly Model'!N$39</x:f>
        <x:v>83725.99554986489</x:v>
      </x:c>
      <x:c r="F77" s="29" t="str">
        <x:f>TEXT('Monthly Model'!N$5,"mmm yy")</x:f>
        <x:v>Aug 27</x:v>
      </x:c>
      <x:c r="G77" s="32" t="n">
        <x:f>'Monthly Model'!N$12</x:f>
        <x:v>65.17294495972793</x:v>
      </x:c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29" t="str">
        <x:f>TEXT('Monthly Model'!O$5,"mmm yy")</x:f>
        <x:v>Sep 27</x:v>
      </x:c>
      <x:c r="B78" s="31" t="n">
        <x:f>'Monthly Model'!O$17</x:f>
        <x:v>47251.978010465806</x:v>
      </x:c>
      <x:c r="C78" s="31" t="n">
        <x:f>'Monthly Model'!O$29</x:f>
        <x:v>-34835.81869110407</x:v>
      </x:c>
      <x:c r="D78" s="29" t="str">
        <x:f>TEXT('Monthly Model'!O$5,"mmm yy")</x:f>
        <x:v>Sep 27</x:v>
      </x:c>
      <x:c r="E78" s="31" t="n">
        <x:f>'Monthly Model'!O$39</x:f>
        <x:v>48890.176858760824</x:v>
      </x:c>
      <x:c r="F78" s="29" t="str">
        <x:f>TEXT('Monthly Model'!O$5,"mmm yy")</x:f>
        <x:v>Sep 27</x:v>
      </x:c>
      <x:c r="G78" s="32" t="n">
        <x:f>'Monthly Model'!O$12</x:f>
        <x:v>80.21775661093609</x:v>
      </x:c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29" t="str">
        <x:f>TEXT('Monthly Model'!P$5,"mmm yy")</x:f>
        <x:v>Oct 27</x:v>
      </x:c>
      <x:c r="B79" s="31" t="n">
        <x:f>'Monthly Model'!P$17</x:f>
        <x:v>56884.418670151834</x:v>
      </x:c>
      <x:c r="C79" s="31" t="n">
        <x:f>'Monthly Model'!P$29</x:f>
        <x:v>-26648.244130370942</x:v>
      </x:c>
      <x:c r="D79" s="29" t="str">
        <x:f>TEXT('Monthly Model'!P$5,"mmm yy")</x:f>
        <x:v>Oct 27</x:v>
      </x:c>
      <x:c r="E79" s="31" t="n">
        <x:f>'Monthly Model'!P$39</x:f>
        <x:v>22241.932728389882</x:v>
      </x:c>
      <x:c r="F79" s="29" t="str">
        <x:f>TEXT('Monthly Model'!P$5,"mmm yy")</x:f>
        <x:v>Oct 27</x:v>
      </x:c>
      <x:c r="G79" s="32" t="n">
        <x:f>'Monthly Model'!P$12</x:f>
        <x:v>94.81122391260801</x:v>
      </x:c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29" t="str">
        <x:f>TEXT('Monthly Model'!Q$5,"mmm yy")</x:f>
        <x:v>Nov 27</x:v>
      </x:c>
      <x:c r="B80" s="31" t="n">
        <x:f>'Monthly Model'!Q$17</x:f>
        <x:v>66227.88611004729</x:v>
      </x:c>
      <x:c r="C80" s="31" t="n">
        <x:f>'Monthly Model'!Q$29</x:f>
        <x:v>-18706.29680645981</x:v>
      </x:c>
      <x:c r="D80" s="29" t="str">
        <x:f>TEXT('Monthly Model'!Q$5,"mmm yy")</x:f>
        <x:v>Nov 27</x:v>
      </x:c>
      <x:c r="E80" s="31" t="n">
        <x:f>'Monthly Model'!Q$39</x:f>
        <x:v>3535.635921930072</x:v>
      </x:c>
      <x:c r="F80" s="29" t="str">
        <x:f>TEXT('Monthly Model'!Q$5,"mmm yy")</x:f>
        <x:v>Nov 27</x:v>
      </x:c>
      <x:c r="G80" s="32" t="n">
        <x:f>'Monthly Model'!Q$12</x:f>
        <x:v>108.96688719522977</x:v>
      </x:c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29" t="str">
        <x:f>TEXT('Monthly Model'!R$5,"mmm yy")</x:f>
        <x:v>Dec 27</x:v>
      </x:c>
      <x:c r="B81" s="31" t="n">
        <x:f>'Monthly Model'!R$17</x:f>
        <x:v>75291.04952674586</x:v>
      </x:c>
      <x:c r="C81" s="31" t="n">
        <x:f>'Monthly Model'!R$29</x:f>
        <x:v>-11002.60790226602</x:v>
      </x:c>
      <x:c r="D81" s="29" t="str">
        <x:f>TEXT('Monthly Model'!R$5,"mmm yy")</x:f>
        <x:v>Dec 27</x:v>
      </x:c>
      <x:c r="E81" s="31" t="n">
        <x:f>'Monthly Model'!R$39</x:f>
        <x:v>-7466.971980335948</x:v>
      </x:c>
      <x:c r="F81" s="29" t="str">
        <x:f>TEXT('Monthly Model'!R$5,"mmm yy")</x:f>
        <x:v>Dec 27</x:v>
      </x:c>
      <x:c r="G81" s="32" t="n">
        <x:f>'Monthly Model'!R$12</x:f>
        <x:v>122.69788057937288</x:v>
      </x:c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29" t="str">
        <x:f>TEXT('Monthly Model'!S$5,"mmm yy")</x:f>
        <x:v>Jan 28</x:v>
      </x:c>
      <x:c r="B82" s="31" t="n">
        <x:f>'Monthly Model'!S$17</x:f>
        <x:v>84082.31804094349</x:v>
      </x:c>
      <x:c r="C82" s="31" t="n">
        <x:f>'Monthly Model'!S$29</x:f>
        <x:v>-3530.0296651980316</x:v>
      </x:c>
      <x:c r="D82" s="29" t="str">
        <x:f>TEXT('Monthly Model'!S$5,"mmm yy")</x:f>
        <x:v>Jan 28</x:v>
      </x:c>
      <x:c r="E82" s="31" t="n">
        <x:f>'Monthly Model'!S$39</x:f>
        <x:v>-10997.00164553398</x:v>
      </x:c>
      <x:c r="F82" s="29" t="str">
        <x:f>TEXT('Monthly Model'!S$5,"mmm yy")</x:f>
        <x:v>Jan 28</x:v>
      </x:c>
      <x:c r="G82" s="32" t="n">
        <x:f>'Monthly Model'!S$12</x:f>
        <x:v>136.0169441619917</x:v>
      </x:c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29" t="str">
        <x:f>TEXT('Monthly Model'!T$5,"mmm yy")</x:f>
        <x:v>Feb 28</x:v>
      </x:c>
      <x:c r="B83" s="31" t="n">
        <x:f>'Monthly Model'!T$17</x:f>
        <x:v>92609.84849971518</x:v>
      </x:c>
      <x:c r="C83" s="31" t="n">
        <x:f>'Monthly Model'!T$29</x:f>
        <x:v>3718.3712247579097</x:v>
      </x:c>
      <x:c r="D83" s="29" t="str">
        <x:f>TEXT('Monthly Model'!T$5,"mmm yy")</x:f>
        <x:v>Feb 28</x:v>
      </x:c>
      <x:c r="E83" s="31" t="n">
        <x:f>'Monthly Model'!T$39</x:f>
        <x:v>-7278.6304207760695</x:v>
      </x:c>
      <x:c r="F83" s="29" t="str">
        <x:f>TEXT('Monthly Model'!T$5,"mmm yy")</x:f>
        <x:v>Feb 28</x:v>
      </x:c>
      <x:c r="G83" s="32" t="n">
        <x:f>'Monthly Model'!T$12</x:f>
        <x:v>148.93643583713194</x:v>
      </x:c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29" t="str">
        <x:f>TEXT('Monthly Model'!U$5,"mmm yy")</x:f>
        <x:v>Mar 28</x:v>
      </x:c>
      <x:c r="B84" s="31" t="n">
        <x:f>'Monthly Model'!U$17</x:f>
        <x:v>100881.55304472374</x:v>
      </x:c>
      <x:c r="C84" s="31" t="n">
        <x:f>'Monthly Model'!U$29</x:f>
        <x:v>10749.320088015185</x:v>
      </x:c>
      <x:c r="D84" s="29" t="str">
        <x:f>TEXT('Monthly Model'!U$5,"mmm yy")</x:f>
        <x:v>Mar 28</x:v>
      </x:c>
      <x:c r="E84" s="31" t="n">
        <x:f>'Monthly Model'!U$39</x:f>
        <x:v>3470.689667239116</x:v>
      </x:c>
      <x:c r="F84" s="29" t="str">
        <x:f>TEXT('Monthly Model'!U$5,"mmm yy")</x:f>
        <x:v>Mar 28</x:v>
      </x:c>
      <x:c r="G84" s="32" t="n">
        <x:f>'Monthly Model'!U$12</x:f>
        <x:v>161.46834276201798</x:v>
      </x:c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29" t="str">
        <x:f>TEXT('Monthly Model'!V$5,"mmm yy")</x:f>
        <x:v>Apr 28</x:v>
      </x:c>
      <x:c r="B85" s="31" t="n">
        <x:f>'Monthly Model'!V$17</x:f>
        <x:v>108905.10645338202</x:v>
      </x:c>
      <x:c r="C85" s="31" t="n">
        <x:f>'Monthly Model'!V$29</x:f>
        <x:v>17569.34048537472</x:v>
      </x:c>
      <x:c r="D85" s="29" t="str">
        <x:f>TEXT('Monthly Model'!V$5,"mmm yy")</x:f>
        <x:v>Apr 28</x:v>
      </x:c>
      <x:c r="E85" s="31" t="n">
        <x:f>'Monthly Model'!V$39</x:f>
        <x:v>21040.030152613836</x:v>
      </x:c>
      <x:c r="F85" s="29" t="str">
        <x:f>TEXT('Monthly Model'!V$5,"mmm yy")</x:f>
        <x:v>Apr 28</x:v>
      </x:c>
      <x:c r="G85" s="32" t="n">
        <x:f>'Monthly Model'!V$12</x:f>
        <x:v>173.62429247915745</x:v>
      </x:c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29" t="str">
        <x:f>TEXT('Monthly Model'!W$5,"mmm yy")</x:f>
        <x:v>May 28</x:v>
      </x:c>
      <x:c r="B86" s="31" t="n">
        <x:f>'Monthly Model'!W$17</x:f>
        <x:v>116687.95325978055</x:v>
      </x:c>
      <x:c r="C86" s="31" t="n">
        <x:f>'Monthly Model'!W$29</x:f>
        <x:v>24184.760270813465</x:v>
      </x:c>
      <x:c r="D86" s="29" t="str">
        <x:f>TEXT('Monthly Model'!W$5,"mmm yy")</x:f>
        <x:v>May 28</x:v>
      </x:c>
      <x:c r="E86" s="31" t="n">
        <x:f>'Monthly Model'!W$39</x:f>
        <x:v>45224.7904234273</x:v>
      </x:c>
      <x:c r="F86" s="29" t="str">
        <x:f>TEXT('Monthly Model'!W$5,"mmm yy")</x:f>
        <x:v>May 28</x:v>
      </x:c>
      <x:c r="G86" s="32" t="n">
        <x:f>'Monthly Model'!W$12</x:f>
        <x:v>185.41556370478273</x:v>
      </x:c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29" t="str">
        <x:f>TEXT('Monthly Model'!X$5,"mmm yy")</x:f>
        <x:v>Jun 28</x:v>
      </x:c>
      <x:c r="B87" s="31" t="n">
        <x:f>'Monthly Model'!X$17</x:f>
        <x:v>124237.31466198714</x:v>
      </x:c>
      <x:c r="C87" s="31" t="n">
        <x:f>'Monthly Model'!X$29</x:f>
        <x:v>30601.717462689063</x:v>
      </x:c>
      <x:c r="D87" s="29" t="str">
        <x:f>TEXT('Monthly Model'!X$5,"mmm yy")</x:f>
        <x:v>Jun 28</x:v>
      </x:c>
      <x:c r="E87" s="31" t="n">
        <x:f>'Monthly Model'!X$39</x:f>
        <x:v>75826.50788611636</x:v>
      </x:c>
      <x:c r="F87" s="29" t="str">
        <x:f>TEXT('Monthly Model'!X$5,"mmm yy")</x:f>
        <x:v>Jun 28</x:v>
      </x:c>
      <x:c r="G87" s="32" t="n">
        <x:f>'Monthly Model'!X$12</x:f>
        <x:v>196.85309679363925</x:v>
      </x:c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29" t="str">
        <x:f>TEXT('Monthly Model'!Y$5,"mmm yy")</x:f>
        <x:v>Jul 28</x:v>
      </x:c>
      <x:c r="B88" s="31" t="n">
        <x:f>'Monthly Model'!Y$17</x:f>
        <x:v>131560.19522212754</x:v>
      </x:c>
      <x:c r="C88" s="31" t="n">
        <x:f>'Monthly Model'!Y$29</x:f>
        <x:v>36826.16593880841</x:v>
      </x:c>
      <x:c r="D88" s="29" t="str">
        <x:f>TEXT('Monthly Model'!Y$5,"mmm yy")</x:f>
        <x:v>Jul 28</x:v>
      </x:c>
      <x:c r="E88" s="31" t="n">
        <x:f>'Monthly Model'!Y$39</x:f>
        <x:v>112652.67382492477</x:v>
      </x:c>
      <x:c r="F88" s="29" t="str">
        <x:f>TEXT('Monthly Model'!Y$5,"mmm yy")</x:f>
        <x:v>Jul 28</x:v>
      </x:c>
      <x:c r="G88" s="32" t="n">
        <x:f>'Monthly Model'!Y$12</x:f>
        <x:v>207.94750388983007</x:v>
      </x:c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29" t="str">
        <x:f>TEXT('Monthly Model'!Z$5,"mmm yy")</x:f>
        <x:v>Aug 28</x:v>
      </x:c>
      <x:c r="B89" s="31" t="n">
        <x:f>'Monthly Model'!Z$17</x:f>
        <x:v>138663.3893654637</x:v>
      </x:c>
      <x:c r="C89" s="31" t="n">
        <x:f>'Monthly Model'!Z$29</x:f>
        <x:v>42863.880960644135</x:v>
      </x:c>
      <x:c r="D89" s="29" t="str">
        <x:f>TEXT('Monthly Model'!Z$5,"mmm yy")</x:f>
        <x:v>Aug 28</x:v>
      </x:c>
      <x:c r="E89" s="31" t="n">
        <x:f>'Monthly Model'!Z$39</x:f>
        <x:v>155516.5547855689</x:v>
      </x:c>
      <x:c r="F89" s="29" t="str">
        <x:f>TEXT('Monthly Model'!Z$5,"mmm yy")</x:f>
        <x:v>Aug 28</x:v>
      </x:c>
      <x:c r="G89" s="32" t="n">
        <x:f>'Monthly Model'!Z$12</x:f>
        <x:v>218.70907877313516</x:v>
      </x:c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29" t="str">
        <x:f>TEXT('Monthly Model'!AA$5,"mmm yy")</x:f>
        <x:v>Sep 28</x:v>
      </x:c>
      <x:c r="B90" s="31" t="n">
        <x:f>'Monthly Model'!AA$17</x:f>
        <x:v>176196.3319436536</x:v>
      </x:c>
      <x:c r="C90" s="31" t="n">
        <x:f>'Monthly Model'!AA$29</x:f>
        <x:v>-15137.821195124561</x:v>
      </x:c>
      <x:c r="D90" s="29" t="str">
        <x:f>TEXT('Monthly Model'!AA$5,"mmm yy")</x:f>
        <x:v>Sep 28</x:v>
      </x:c>
      <x:c r="E90" s="31" t="n">
        <x:f>'Monthly Model'!AA$39</x:f>
        <x:v>140378.73359044435</x:v>
      </x:c>
      <x:c r="F90" s="29" t="str">
        <x:f>TEXT('Monthly Model'!AA$5,"mmm yy")</x:f>
        <x:v>Sep 28</x:v>
      </x:c>
      <x:c r="G90" s="32" t="n">
        <x:f>'Monthly Model'!AA$12</x:f>
        <x:v>251.1478064099411</x:v>
      </x:c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29" t="str">
        <x:f>TEXT('Monthly Model'!AB$5,"mmm yy")</x:f>
        <x:v>Oct 28</x:v>
      </x:c>
      <x:c r="B91" s="31" t="n">
        <x:f>'Monthly Model'!AB$17</x:f>
        <x:v>200160.441985344</x:v>
      </x:c>
      <x:c r="C91" s="31" t="n">
        <x:f>'Monthly Model'!AB$29</x:f>
        <x:v>5471.313440729165</x:v>
      </x:c>
      <x:c r="D91" s="29" t="str">
        <x:f>TEXT('Monthly Model'!AB$5,"mmm yy")</x:f>
        <x:v>Oct 28</x:v>
      </x:c>
      <x:c r="E91" s="31" t="n">
        <x:f>'Monthly Model'!AB$39</x:f>
        <x:v>145850.0470311735</x:v>
      </x:c>
      <x:c r="F91" s="29" t="str">
        <x:f>TEXT('Monthly Model'!AB$5,"mmm yy")</x:f>
        <x:v>Oct 28</x:v>
      </x:c>
      <x:c r="G91" s="32" t="n">
        <x:f>'Monthly Model'!AB$12</x:f>
        <x:v>282.61337221764285</x:v>
      </x:c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29" t="str">
        <x:f>TEXT('Monthly Model'!AC$5,"mmm yy")</x:f>
        <x:v>Nov 28</x:v>
      </x:c>
      <x:c r="B92" s="31" t="n">
        <x:f>'Monthly Model'!AC$17</x:f>
        <x:v>223405.62872578364</x:v>
      </x:c>
      <x:c r="C92" s="31" t="n">
        <x:f>'Monthly Model'!AC$29</x:f>
        <x:v>25462.17403750727</x:v>
      </x:c>
      <x:c r="D92" s="29" t="str">
        <x:f>TEXT('Monthly Model'!AC$5,"mmm yy")</x:f>
        <x:v>Nov 28</x:v>
      </x:c>
      <x:c r="E92" s="31" t="n">
        <x:f>'Monthly Model'!AC$39</x:f>
        <x:v>171312.22106868078</x:v>
      </x:c>
      <x:c r="F92" s="29" t="str">
        <x:f>TEXT('Monthly Model'!AC$5,"mmm yy")</x:f>
        <x:v>Nov 28</x:v>
      </x:c>
      <x:c r="G92" s="32" t="n">
        <x:f>'Monthly Model'!AC$12</x:f>
        <x:v>313.13497105111355</x:v>
      </x:c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29" t="str">
        <x:f>TEXT('Monthly Model'!AD$5,"mmm yy")</x:f>
        <x:v>Dec 28</x:v>
      </x:c>
      <x:c r="B93" s="31" t="n">
        <x:f>'Monthly Model'!AD$17</x:f>
        <x:v>245953.45986401013</x:v>
      </x:c>
      <x:c r="C93" s="31" t="n">
        <x:f>'Monthly Model'!AD$29</x:f>
        <x:v>44853.30881638205</x:v>
      </x:c>
      <x:c r="D93" s="29" t="str">
        <x:f>TEXT('Monthly Model'!AD$5,"mmm yy")</x:f>
        <x:v>Dec 28</x:v>
      </x:c>
      <x:c r="E93" s="31" t="n">
        <x:f>'Monthly Model'!AD$39</x:f>
        <x:v>216165.52988506283</x:v>
      </x:c>
      <x:c r="F93" s="29" t="str">
        <x:f>TEXT('Monthly Model'!AD$5,"mmm yy")</x:f>
        <x:v>Dec 28</x:v>
      </x:c>
      <x:c r="G93" s="32" t="n">
        <x:f>'Monthly Model'!AD$12</x:f>
        <x:v>342.74092191958016</x:v>
      </x:c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29" t="str">
        <x:f>TEXT('Monthly Model'!AE$5,"mmm yy")</x:f>
        <x:v>Jan 29</x:v>
      </x:c>
      <x:c r="B94" s="31" t="n">
        <x:f>'Monthly Model'!AE$17</x:f>
        <x:v>267824.8560680899</x:v>
      </x:c>
      <x:c r="C94" s="31" t="n">
        <x:f>'Monthly Model'!AE$29</x:f>
        <x:v>63662.70955189064</x:v>
      </x:c>
      <x:c r="D94" s="29" t="str">
        <x:f>TEXT('Monthly Model'!AE$5,"mmm yy")</x:f>
        <x:v>Jan 29</x:v>
      </x:c>
      <x:c r="E94" s="31" t="n">
        <x:f>'Monthly Model'!AE$39</x:f>
        <x:v>279828.23943695344</x:v>
      </x:c>
      <x:c r="F94" s="29" t="str">
        <x:f>TEXT('Monthly Model'!AE$5,"mmm yy")</x:f>
        <x:v>Jan 29</x:v>
      </x:c>
      <x:c r="G94" s="32" t="n">
        <x:f>'Monthly Model'!AE$12</x:f>
        <x:v>371.4586942619928</x:v>
      </x:c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29" t="str">
        <x:f>TEXT('Monthly Model'!AF$5,"mmm yy")</x:f>
        <x:v>Feb 29</x:v>
      </x:c>
      <x:c r="B95" s="31" t="n">
        <x:f>'Monthly Model'!AF$17</x:f>
        <x:v>289040.1103860471</x:v>
      </x:c>
      <x:c r="C95" s="31" t="n">
        <x:f>'Monthly Model'!AF$29</x:f>
        <x:v>81907.82826533384</x:v>
      </x:c>
      <x:c r="D95" s="29" t="str">
        <x:f>TEXT('Monthly Model'!AF$5,"mmm yy")</x:f>
        <x:v>Feb 29</x:v>
      </x:c>
      <x:c r="E95" s="31" t="n">
        <x:f>'Monthly Model'!AF$39</x:f>
        <x:v>361736.0677022873</x:v>
      </x:c>
      <x:c r="F95" s="29" t="str">
        <x:f>TEXT('Monthly Model'!AF$5,"mmm yy")</x:f>
        <x:v>Feb 29</x:v>
      </x:c>
      <x:c r="G95" s="32" t="n">
        <x:f>'Monthly Model'!AF$12</x:f>
        <x:v>399.31493343413297</x:v>
      </x:c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29" t="str">
        <x:f>TEXT('Monthly Model'!AG$5,"mmm yy")</x:f>
        <x:v>Mar 29</x:v>
      </x:c>
      <x:c r="B96" s="31" t="n">
        <x:f>'Monthly Model'!AG$17</x:f>
        <x:v>309618.9070744657</x:v>
      </x:c>
      <x:c r="C96" s="31" t="n">
        <x:f>'Monthly Model'!AG$29</x:f>
        <x:v>99605.59341737386</x:v>
      </x:c>
      <x:c r="D96" s="29" t="str">
        <x:f>TEXT('Monthly Model'!AG$5,"mmm yy")</x:f>
        <x:v>Mar 29</x:v>
      </x:c>
      <x:c r="E96" s="31" t="n">
        <x:f>'Monthly Model'!AG$39</x:f>
        <x:v>461341.6611196612</x:v>
      </x:c>
      <x:c r="F96" s="29" t="str">
        <x:f>TEXT('Monthly Model'!AG$5,"mmm yy")</x:f>
        <x:v>Mar 29</x:v>
      </x:c>
      <x:c r="G96" s="32" t="n">
        <x:f>'Monthly Model'!AG$12</x:f>
        <x:v>426.33548543110896</x:v>
      </x:c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29" t="str">
        <x:f>TEXT('Monthly Model'!AH$5,"mmm yy")</x:f>
        <x:v>Apr 29</x:v>
      </x:c>
      <x:c r="B97" s="31" t="n">
        <x:f>'Monthly Model'!AH$17</x:f>
        <x:v>329580.33986223175</x:v>
      </x:c>
      <x:c r="C97" s="31" t="n">
        <x:f>'Monthly Model'!AH$29</x:f>
        <x:v>116772.42561485266</x:v>
      </x:c>
      <x:c r="D97" s="29" t="str">
        <x:f>TEXT('Monthly Model'!AH$5,"mmm yy")</x:f>
        <x:v>Apr 29</x:v>
      </x:c>
      <x:c r="E97" s="31" t="n">
        <x:f>'Monthly Model'!AH$39</x:f>
        <x:v>578114.0867345139</x:v>
      </x:c>
      <x:c r="F97" s="29" t="str">
        <x:f>TEXT('Monthly Model'!AH$5,"mmm yy")</x:f>
        <x:v>Apr 29</x:v>
      </x:c>
      <x:c r="G97" s="32" t="n">
        <x:f>'Monthly Model'!AH$12</x:f>
        <x:v>452.5454208681757</x:v>
      </x:c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29" t="str">
        <x:f>TEXT('Monthly Model'!AI$5,"mmm yy")</x:f>
        <x:v>May 29</x:v>
      </x:c>
      <x:c r="B98" s="31" t="n">
        <x:f>'Monthly Model'!AI$17</x:f>
        <x:v>348942.9296663648</x:v>
      </x:c>
      <x:c r="C98" s="31" t="n">
        <x:f>'Monthly Model'!AI$29</x:f>
        <x:v>133424.2528464071</x:v>
      </x:c>
      <x:c r="D98" s="29" t="str">
        <x:f>TEXT('Monthly Model'!AI$5,"mmm yy")</x:f>
        <x:v>May 29</x:v>
      </x:c>
      <x:c r="E98" s="31" t="n">
        <x:f>'Monthly Model'!AI$39</x:f>
        <x:v>711538.339580921</x:v>
      </x:c>
      <x:c r="F98" s="29" t="str">
        <x:f>TEXT('Monthly Model'!AI$5,"mmm yy")</x:f>
        <x:v>May 29</x:v>
      </x:c>
      <x:c r="G98" s="32" t="n">
        <x:f>'Monthly Model'!AI$12</x:f>
        <x:v>477.9690582421304</x:v>
      </x:c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29" t="str">
        <x:f>TEXT('Monthly Model'!AJ$5,"mmm yy")</x:f>
        <x:v>Jun 29</x:v>
      </x:c>
      <x:c r="B99" s="31" t="n">
        <x:f>'Monthly Model'!AJ$17</x:f>
        <x:v>367724.6417763738</x:v>
      </x:c>
      <x:c r="C99" s="31" t="n">
        <x:f>'Monthly Model'!AJ$29</x:f>
        <x:v>149576.5252610148</x:v>
      </x:c>
      <x:c r="D99" s="29" t="str">
        <x:f>TEXT('Monthly Model'!AJ$5,"mmm yy")</x:f>
        <x:v>Jun 29</x:v>
      </x:c>
      <x:c r="E99" s="31" t="n">
        <x:f>'Monthly Model'!AJ$39</x:f>
        <x:v>861114.8648419358</x:v>
      </x:c>
      <x:c r="F99" s="29" t="str">
        <x:f>TEXT('Monthly Model'!AJ$5,"mmm yy")</x:f>
        <x:v>Jun 29</x:v>
      </x:c>
      <x:c r="G99" s="32" t="n">
        <x:f>'Monthly Model'!AJ$12</x:f>
        <x:v>502.62998649486644</x:v>
      </x:c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29" t="str">
        <x:f>TEXT('Monthly Model'!AK$5,"mmm yy")</x:f>
        <x:v>Jul 29</x:v>
      </x:c>
      <x:c r="B100" s="31" t="n">
        <x:f>'Monthly Model'!AK$17</x:f>
        <x:v>385942.90252308256</x:v>
      </x:c>
      <x:c r="C100" s="31" t="n">
        <x:f>'Monthly Model'!AK$29</x:f>
        <x:v>165244.22950318435</x:v>
      </x:c>
      <x:c r="D100" s="29" t="str">
        <x:f>TEXT('Monthly Model'!AK$5,"mmm yy")</x:f>
        <x:v>Jul 29</x:v>
      </x:c>
      <x:c r="E100" s="31" t="n">
        <x:f>'Monthly Model'!AK$39</x:f>
        <x:v>1026359.0943451201</x:v>
      </x:c>
      <x:c r="F100" s="29" t="str">
        <x:f>TEXT('Monthly Model'!AK$5,"mmm yy")</x:f>
        <x:v>Jul 29</x:v>
      </x:c>
      <x:c r="G100" s="32" t="n">
        <x:f>'Monthly Model'!AK$12</x:f>
        <x:v>526.5510869000204</x:v>
      </x:c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29" t="str">
        <x:f>TEXT('Monthly Model'!AL$5,"mmm yy")</x:f>
        <x:v>Aug 29</x:v>
      </x:c>
      <x:c r="B101" s="31" t="n">
        <x:f>'Monthly Model'!AL$17</x:f>
        <x:v>403614.61544739007</x:v>
      </x:c>
      <x:c r="C101" s="31" t="n">
        <x:f>'Monthly Model'!AL$29</x:f>
        <x:v>180441.9026180888</x:v>
      </x:c>
      <x:c r="D101" s="29" t="str">
        <x:f>TEXT('Monthly Model'!AL$5,"mmm yy")</x:f>
        <x:v>Aug 29</x:v>
      </x:c>
      <x:c r="E101" s="31" t="n">
        <x:f>'Monthly Model'!AL$39</x:f>
        <x:v>1206800.996963209</x:v>
      </x:c>
      <x:c r="F101" s="29" t="str">
        <x:f>TEXT('Monthly Model'!AL$5,"mmm yy")</x:f>
        <x:v>Aug 29</x:v>
      </x:c>
      <x:c r="G101" s="32" t="n">
        <x:f>'Monthly Model'!AL$12</x:f>
        <x:v>549.7545542930199</x:v>
      </x:c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L1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G31:L31"/>
    <x:mergeCell ref="G42:L47"/>
  </x:mergeCells>
  <x:pageMargins left="0.7" right="0.7" top="0.75" bottom="0.75" header="0.3" footer="0.3"/>
  <x:drawing xmlns:r="http://schemas.openxmlformats.org/officeDocument/2006/relationships" r:id="Rfb38535b24634a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46" hidden="0" customWidth="1"/>
    <x:col min="5" max="5" width="16" hidden="0" customWidth="1"/>
  </x:cols>
  <x:sheetData>
    <x:row r="1" ht="34" customHeight="1">
      <x:c r="A1" s="6" t="str">
        <x:v>Nail Profit OS — Допущения</x:v>
      </x:c>
      <x:c r="B1" s="6"/>
      <x:c r="C1" s="6"/>
      <x:c r="D1" s="6"/>
      <x:c r="E1" s="6"/>
      <x:c r="F1" s="6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8" t="str">
        <x:v>Выбранный сценарий</x:v>
      </x:c>
      <x:c r="B3" s="11" t="str">
        <x:v>Base</x:v>
      </x:c>
      <x:c r="C3" s="7"/>
      <x:c r="D3" s="45" t="str">
        <x:v>Меняйте только синие ячейки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8" t="str">
        <x:v>Версия модели</x:v>
      </x:c>
      <x:c r="B4" s="7" t="str">
        <x:v>1.1</x:v>
      </x:c>
      <x:c r="C4" s="7"/>
      <x:c r="D4" s="45" t="str">
        <x:v>Финансовые значения — сценарии, не прогноз</x:v>
      </x:c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8" t="str">
        <x:v>Начало прогноза</x:v>
      </x:c>
      <x:c r="B5" s="12" t="n">
        <x:v>46266</x:v>
      </x:c>
      <x:c r="C5" s="7"/>
      <x:c r="D5" s="45" t="str">
        <x:v>36 месяцев</x:v>
      </x:c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8" t="str">
        <x:v>Налоговый режим</x:v>
      </x:c>
      <x:c r="B6" s="11" t="str">
        <x:v>None / Pre-tax</x:v>
      </x:c>
      <x:c r="C6" s="7"/>
      <x:c r="D6" s="45" t="str">
        <x:v>MITP estimate — ориентир, не налоговая консультация</x:v>
      </x:c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7"/>
      <x:c r="B7" s="7"/>
      <x:c r="C7" s="7"/>
      <x:c r="D7" s="45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 ht="23" customHeight="1">
      <x:c r="A8" s="16" t="str">
        <x:v>Сценарные драйверы</x:v>
      </x:c>
      <x:c r="B8" s="16"/>
      <x:c r="C8" s="16"/>
      <x:c r="D8" s="4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21" t="str">
        <x:v>Показатель</x:v>
      </x:c>
      <x:c r="B9" s="21" t="str">
        <x:v>Conservative</x:v>
      </x:c>
      <x:c r="C9" s="21" t="str">
        <x:v>Base</x:v>
      </x:c>
      <x:c r="D9" s="21" t="str">
        <x:v>Upside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7" t="str">
        <x:v>Стартовый денежный ресурс, MDL</x:v>
      </x:c>
      <x:c r="B10" s="26" t="n">
        <x:v>350000</x:v>
      </x:c>
      <x:c r="C10" s="26" t="n">
        <x:v>400000</x:v>
      </x:c>
      <x:c r="D10" s="48" t="n">
        <x:v>650000</x:v>
      </x:c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7" t="str">
        <x:v>Разовые стартовые расходы, MDL</x:v>
      </x:c>
      <x:c r="B11" s="26" t="n">
        <x:v>20000</x:v>
      </x:c>
      <x:c r="C11" s="26" t="n">
        <x:v>30000</x:v>
      </x:c>
      <x:c r="D11" s="48" t="n">
        <x:v>50000</x:v>
      </x:c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 t="str">
        <x:v>Активные аккаунты на старте</x:v>
      </x:c>
      <x:c r="B12" s="23" t="n">
        <x:v>3</x:v>
      </x:c>
      <x:c r="C12" s="23" t="n">
        <x:v>3</x:v>
      </x:c>
      <x:c r="D12" s="49" t="n">
        <x:v>3</x:v>
      </x:c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 t="str">
        <x:v>Monthly logo churn</x:v>
      </x:c>
      <x:c r="B13" s="25" t="n">
        <x:v>0.05</x:v>
      </x:c>
      <x:c r="C13" s="25" t="n">
        <x:v>0.03</x:v>
      </x:c>
      <x:c r="D13" s="50" t="n">
        <x:v>0.025</x:v>
      </x:c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 t="str">
        <x:v>Fully loaded CAC, MDL</x:v>
      </x:c>
      <x:c r="B14" s="26" t="n">
        <x:v>900</x:v>
      </x:c>
      <x:c r="C14" s="26" t="n">
        <x:v>1400</x:v>
      </x:c>
      <x:c r="D14" s="48" t="n">
        <x:v>1800</x:v>
      </x:c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 t="str">
        <x:v>Новые аккаунты/мес., M1–M6</x:v>
      </x:c>
      <x:c r="B15" s="27" t="n">
        <x:v>1.5</x:v>
      </x:c>
      <x:c r="C15" s="27" t="n">
        <x:v>4</x:v>
      </x:c>
      <x:c r="D15" s="51" t="n">
        <x:v>6</x:v>
      </x:c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 t="str">
        <x:v>Новые аккаунты/мес., M7–M12</x:v>
      </x:c>
      <x:c r="B16" s="27" t="n">
        <x:v>3.5</x:v>
      </x:c>
      <x:c r="C16" s="27" t="n">
        <x:v>8</x:v>
      </x:c>
      <x:c r="D16" s="51" t="n">
        <x:v>12</x:v>
      </x:c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 t="str">
        <x:v>Новые аккаунты/мес., Year 2</x:v>
      </x:c>
      <x:c r="B17" s="27" t="n">
        <x:v>6.1</x:v>
      </x:c>
      <x:c r="C17" s="27" t="n">
        <x:v>17</x:v>
      </x:c>
      <x:c r="D17" s="51" t="n">
        <x:v>31</x:v>
      </x:c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7" t="str">
        <x:v>Новые аккаунты/мес., Year 3</x:v>
      </x:c>
      <x:c r="B18" s="27" t="n">
        <x:v>12.2</x:v>
      </x:c>
      <x:c r="C18" s="27" t="n">
        <x:v>39</x:v>
      </x:c>
      <x:c r="D18" s="51" t="n">
        <x:v>86</x:v>
      </x:c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7" t="str">
        <x:v>Средние аккаунты, Year 1</x:v>
      </x:c>
      <x:c r="B19" s="27" t="n">
        <x:v>12</x:v>
      </x:c>
      <x:c r="C19" s="27" t="n">
        <x:v>25</x:v>
      </x:c>
      <x:c r="D19" s="51" t="n">
        <x:v>45</x:v>
      </x:c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7" t="str">
        <x:v>Средние аккаунты, Year 2</x:v>
      </x:c>
      <x:c r="B20" s="27" t="n">
        <x:v>45</x:v>
      </x:c>
      <x:c r="C20" s="27" t="n">
        <x:v>140</x:v>
      </x:c>
      <x:c r="D20" s="51" t="n">
        <x:v>250</x:v>
      </x:c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7" t="str">
        <x:v>Средние аккаунты, Year 3</x:v>
      </x:c>
      <x:c r="B21" s="27" t="n">
        <x:v>110</x:v>
      </x:c>
      <x:c r="C21" s="27" t="n">
        <x:v>385</x:v>
      </x:c>
      <x:c r="D21" s="51" t="n">
        <x:v>800</x:v>
      </x:c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 t="str">
        <x:v>ARPA, Year 1, MDL/мес.</x:v>
      </x:c>
      <x:c r="B22" s="26" t="n">
        <x:v>450</x:v>
      </x:c>
      <x:c r="C22" s="26" t="n">
        <x:v>550</x:v>
      </x:c>
      <x:c r="D22" s="48" t="n">
        <x:v>650</x:v>
      </x:c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 t="str">
        <x:v>ARPA, Year 2, MDL/мес.</x:v>
      </x:c>
      <x:c r="B23" s="26" t="n">
        <x:v>500</x:v>
      </x:c>
      <x:c r="C23" s="26" t="n">
        <x:v>650</x:v>
      </x:c>
      <x:c r="D23" s="48" t="n">
        <x:v>800</x:v>
      </x:c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7" t="str">
        <x:v>ARPA, Year 3, MDL/мес.</x:v>
      </x:c>
      <x:c r="B24" s="26" t="n">
        <x:v>550</x:v>
      </x:c>
      <x:c r="C24" s="26" t="n">
        <x:v>750</x:v>
      </x:c>
      <x:c r="D24" s="48" t="n">
        <x:v>950</x:v>
      </x:c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7" t="str">
        <x:v>COGS, Year 1</x:v>
      </x:c>
      <x:c r="B25" s="25" t="n">
        <x:v>0.18</x:v>
      </x:c>
      <x:c r="C25" s="25" t="n">
        <x:v>0.17</x:v>
      </x:c>
      <x:c r="D25" s="50" t="n">
        <x:v>0.17</x:v>
      </x:c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 t="str">
        <x:v>COGS, Year 2</x:v>
      </x:c>
      <x:c r="B26" s="25" t="n">
        <x:v>0.16</x:v>
      </x:c>
      <x:c r="C26" s="25" t="n">
        <x:v>0.15</x:v>
      </x:c>
      <x:c r="D26" s="50" t="n">
        <x:v>0.14</x:v>
      </x:c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>
      <x:c r="A27" s="7" t="str">
        <x:v>COGS, Year 3</x:v>
      </x:c>
      <x:c r="B27" s="25" t="n">
        <x:v>0.15</x:v>
      </x:c>
      <x:c r="C27" s="25" t="n">
        <x:v>0.14</x:v>
      </x:c>
      <x:c r="D27" s="50" t="n">
        <x:v>0.12</x:v>
      </x:c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 t="str">
        <x:v>OPEX, Year 1, MDL</x:v>
      </x:c>
      <x:c r="B28" s="26" t="n">
        <x:v>360000</x:v>
      </x:c>
      <x:c r="C28" s="26" t="n">
        <x:v>450000</x:v>
      </x:c>
      <x:c r="D28" s="48" t="n">
        <x:v>550000</x:v>
      </x:c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 t="str">
        <x:v>OPEX, Year 2, MDL</x:v>
      </x:c>
      <x:c r="B29" s="26" t="n">
        <x:v>600000</x:v>
      </x:c>
      <x:c r="C29" s="26" t="n">
        <x:v>900000</x:v>
      </x:c>
      <x:c r="D29" s="48" t="n">
        <x:v>1500000</x:v>
      </x:c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 t="str">
        <x:v>OPEX, Year 3, MDL</x:v>
      </x:c>
      <x:c r="B30" s="26" t="n">
        <x:v>900000</x:v>
      </x:c>
      <x:c r="C30" s="26" t="n">
        <x:v>2000000</x:v>
      </x:c>
      <x:c r="D30" s="48" t="n">
        <x:v>4500000</x:v>
      </x:c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>
      <x:c r="A31" s="7" t="str">
        <x:v>Целевой денежный резерв, MDL</x:v>
      </x:c>
      <x:c r="B31" s="28" t="n">
        <x:v>50000</x:v>
      </x:c>
      <x:c r="C31" s="28" t="n">
        <x:v>100000</x:v>
      </x:c>
      <x:c r="D31" s="52" t="n">
        <x:v>200000</x:v>
      </x:c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/>
      <x:c r="B32" s="7"/>
      <x:c r="C32" s="7"/>
      <x:c r="D32" s="45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/>
      <x:c r="B33" s="7"/>
      <x:c r="C33" s="7"/>
      <x:c r="D33" s="45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 ht="23" customHeight="1">
      <x:c r="A34" s="16" t="str">
        <x:v>Активный набор допущений</x:v>
      </x:c>
      <x:c r="B34" s="16"/>
      <x:c r="C34" s="16"/>
      <x:c r="D34" s="4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21" t="str">
        <x:v>Показатель</x:v>
      </x:c>
      <x:c r="B35" s="21" t="str">
        <x:v>Selected</x:v>
      </x:c>
      <x:c r="C35" s="21" t="str">
        <x:v>Единица</x:v>
      </x:c>
      <x:c r="D35" s="21" t="str">
        <x:v>Примечание</x:v>
      </x:c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7" t="str">
        <x:v>Стартовый денежный ресурс, MDL</x:v>
      </x:c>
      <x:c r="B36" s="31" t="n">
        <x:f>IF($B$3=$B$9,B10,IF($B$3=$C$9,C10,D10))</x:f>
        <x:v>400000</x:v>
      </x:c>
      <x:c r="C36" s="7" t="str">
        <x:v>MDL</x:v>
      </x:c>
      <x:c r="D36" s="45" t="str">
        <x:v>Доступный ресурс на старте</x:v>
      </x:c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 t="str">
        <x:v>Разовые стартовые расходы, MDL</x:v>
      </x:c>
      <x:c r="B37" s="31" t="n">
        <x:f>IF($B$3=$B$9,B11,IF($B$3=$C$9,C11,D11))</x:f>
        <x:v>30000</x:v>
      </x:c>
      <x:c r="C37" s="7" t="str">
        <x:v>MDL</x:v>
      </x:c>
      <x:c r="D37" s="45" t="str">
        <x:v>Списание в первом месяце</x:v>
      </x:c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 t="str">
        <x:v>Активные аккаунты на старте</x:v>
      </x:c>
      <x:c r="B38" s="29" t="n">
        <x:f>IF($B$3=$B$9,B12,IF($B$3=$C$9,C12,D12))</x:f>
        <x:v>3</x:v>
      </x:c>
      <x:c r="C38" s="7" t="str">
        <x:v>аккаунты</x:v>
      </x:c>
      <x:c r="D38" s="45" t="str">
        <x:v>Подтверждены 3 потенциальных плательщика</x:v>
      </x:c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 t="str">
        <x:v>Monthly logo churn</x:v>
      </x:c>
      <x:c r="B39" s="30" t="n">
        <x:f>IF($B$3=$B$9,B13,IF($B$3=$C$9,C13,D13))</x:f>
        <x:v>0.03</x:v>
      </x:c>
      <x:c r="C39" s="7" t="str">
        <x:v>%/мес.</x:v>
      </x:c>
      <x:c r="D39" s="45" t="str">
        <x:v>Отток активных аккаунтов</x:v>
      </x:c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7" t="str">
        <x:v>Fully loaded CAC, MDL</x:v>
      </x:c>
      <x:c r="B40" s="31" t="n">
        <x:f>IF($B$3=$B$9,B14,IF($B$3=$C$9,C14,D14))</x:f>
        <x:v>1400</x:v>
      </x:c>
      <x:c r="C40" s="7" t="str">
        <x:v>MDL</x:v>
      </x:c>
      <x:c r="D40" s="45" t="str">
        <x:v>Продажи + onboarding</x:v>
      </x:c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7" t="str">
        <x:v>Новые аккаунты/мес., M1–M6</x:v>
      </x:c>
      <x:c r="B41" s="32" t="n">
        <x:f>IF($B$3=$B$9,B15,IF($B$3=$C$9,C15,D15))</x:f>
        <x:v>4</x:v>
      </x:c>
      <x:c r="C41" s="7" t="str">
        <x:v>акк./мес.</x:v>
      </x:c>
      <x:c r="D41" s="45" t="str">
        <x:v>Ранняя фаза</x:v>
      </x:c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 t="str">
        <x:v>Новые аккаунты/мес., M7–M12</x:v>
      </x:c>
      <x:c r="B42" s="32" t="n">
        <x:f>IF($B$3=$B$9,B16,IF($B$3=$C$9,C16,D16))</x:f>
        <x:v>8</x:v>
      </x:c>
      <x:c r="C42" s="7" t="str">
        <x:v>акк./мес.</x:v>
      </x:c>
      <x:c r="D42" s="45" t="str">
        <x:v>Beta</x:v>
      </x:c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 t="str">
        <x:v>Новые аккаунты/мес., Year 2</x:v>
      </x:c>
      <x:c r="B43" s="32" t="n">
        <x:f>IF($B$3=$B$9,B17,IF($B$3=$C$9,C17,D17))</x:f>
        <x:v>17</x:v>
      </x:c>
      <x:c r="C43" s="7" t="str">
        <x:v>акк./мес.</x:v>
      </x:c>
      <x:c r="D43" s="45" t="str">
        <x:v>Масштабирование</x:v>
      </x:c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 t="str">
        <x:v>Новые аккаунты/мес., Year 3</x:v>
      </x:c>
      <x:c r="B44" s="32" t="n">
        <x:f>IF($B$3=$B$9,B18,IF($B$3=$C$9,C18,D18))</x:f>
        <x:v>39</x:v>
      </x:c>
      <x:c r="C44" s="7" t="str">
        <x:v>акк./мес.</x:v>
      </x:c>
      <x:c r="D44" s="45" t="str">
        <x:v>Международный рост</x:v>
      </x:c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 t="str">
        <x:v>Средние аккаунты, Year 1</x:v>
      </x:c>
      <x:c r="B45" s="32" t="n">
        <x:f>IF($B$3=$B$9,B19,IF($B$3=$C$9,C19,D19))</x:f>
        <x:v>25</x:v>
      </x:c>
      <x:c r="C45" s="7" t="str">
        <x:v>аккаунты</x:v>
      </x:c>
      <x:c r="D45" s="45" t="str">
        <x:v>Для годового сценарного P&amp;L</x:v>
      </x:c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 t="str">
        <x:v>Средние аккаунты, Year 2</x:v>
      </x:c>
      <x:c r="B46" s="32" t="n">
        <x:f>IF($B$3=$B$9,B20,IF($B$3=$C$9,C20,D20))</x:f>
        <x:v>140</x:v>
      </x:c>
      <x:c r="C46" s="7" t="str">
        <x:v>аккаунты</x:v>
      </x:c>
      <x:c r="D46" s="45" t="str">
        <x:v>Для годового сценарного P&amp;L</x:v>
      </x:c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 t="str">
        <x:v>Средние аккаунты, Year 3</x:v>
      </x:c>
      <x:c r="B47" s="32" t="n">
        <x:f>IF($B$3=$B$9,B21,IF($B$3=$C$9,C21,D21))</x:f>
        <x:v>385</x:v>
      </x:c>
      <x:c r="C47" s="7" t="str">
        <x:v>аккаунты</x:v>
      </x:c>
      <x:c r="D47" s="45" t="str">
        <x:v>Для годового сценарного P&amp;L</x:v>
      </x:c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 t="str">
        <x:v>ARPA, Year 1, MDL/мес.</x:v>
      </x:c>
      <x:c r="B48" s="31" t="n">
        <x:f>IF($B$3=$B$9,B22,IF($B$3=$C$9,C22,D22))</x:f>
        <x:v>550</x:v>
      </x:c>
      <x:c r="C48" s="7" t="str">
        <x:v>MDL/мес.</x:v>
      </x:c>
      <x:c r="D48" s="45" t="str">
        <x:v>С учётом пилотной цены</x:v>
      </x:c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 t="str">
        <x:v>ARPA, Year 2, MDL/мес.</x:v>
      </x:c>
      <x:c r="B49" s="31" t="n">
        <x:f>IF($B$3=$B$9,B23,IF($B$3=$C$9,C23,D23))</x:f>
        <x:v>650</x:v>
      </x:c>
      <x:c r="C49" s="7" t="str">
        <x:v>MDL/мес.</x:v>
      </x:c>
      <x:c r="D49" s="45" t="str">
        <x:v>После продуктового запуска</x:v>
      </x:c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7" t="str">
        <x:v>ARPA, Year 3, MDL/мес.</x:v>
      </x:c>
      <x:c r="B50" s="31" t="n">
        <x:f>IF($B$3=$B$9,B24,IF($B$3=$C$9,C24,D24))</x:f>
        <x:v>750</x:v>
      </x:c>
      <x:c r="C50" s="7" t="str">
        <x:v>MDL/мес.</x:v>
      </x:c>
      <x:c r="D50" s="45" t="str">
        <x:v>После улучшения mix</x:v>
      </x:c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7" t="str">
        <x:v>COGS, Year 1</x:v>
      </x:c>
      <x:c r="B51" s="30" t="n">
        <x:f>IF($B$3=$B$9,B25,IF($B$3=$C$9,C25,D25))</x:f>
        <x:v>0.17</x:v>
      </x:c>
      <x:c r="C51" s="7" t="str">
        <x:v>%</x:v>
      </x:c>
      <x:c r="D51" s="45" t="str">
        <x:v>Инфраструктура + сообщения + поддержка</x:v>
      </x:c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 t="str">
        <x:v>COGS, Year 2</x:v>
      </x:c>
      <x:c r="B52" s="30" t="n">
        <x:f>IF($B$3=$B$9,B26,IF($B$3=$C$9,C26,D26))</x:f>
        <x:v>0.15</x:v>
      </x:c>
      <x:c r="C52" s="7" t="str">
        <x:v>%</x:v>
      </x:c>
      <x:c r="D52" s="45" t="str">
        <x:v>Инфраструктура + сообщения + поддержка</x:v>
      </x:c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 t="str">
        <x:v>COGS, Year 3</x:v>
      </x:c>
      <x:c r="B53" s="30" t="n">
        <x:f>IF($B$3=$B$9,B27,IF($B$3=$C$9,C27,D27))</x:f>
        <x:v>0.14</x:v>
      </x:c>
      <x:c r="C53" s="7" t="str">
        <x:v>%</x:v>
      </x:c>
      <x:c r="D53" s="45" t="str">
        <x:v>Инфраструктура + сообщения + поддержка</x:v>
      </x:c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 t="str">
        <x:v>OPEX, Year 1, MDL</x:v>
      </x:c>
      <x:c r="B54" s="31" t="n">
        <x:f>IF($B$3=$B$9,B28,IF($B$3=$C$9,C28,D28))</x:f>
        <x:v>450000</x:v>
      </x:c>
      <x:c r="C54" s="7" t="str">
        <x:v>MDL/год</x:v>
      </x:c>
      <x:c r="D54" s="45" t="str">
        <x:v>До налогов</x:v>
      </x:c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 t="str">
        <x:v>OPEX, Year 2, MDL</x:v>
      </x:c>
      <x:c r="B55" s="31" t="n">
        <x:f>IF($B$3=$B$9,B29,IF($B$3=$C$9,C29,D29))</x:f>
        <x:v>900000</x:v>
      </x:c>
      <x:c r="C55" s="7" t="str">
        <x:v>MDL/год</x:v>
      </x:c>
      <x:c r="D55" s="45" t="str">
        <x:v>До налогов</x:v>
      </x:c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 t="str">
        <x:v>OPEX, Year 3, MDL</x:v>
      </x:c>
      <x:c r="B56" s="31" t="n">
        <x:f>IF($B$3=$B$9,B30,IF($B$3=$C$9,C30,D30))</x:f>
        <x:v>2000000</x:v>
      </x:c>
      <x:c r="C56" s="7" t="str">
        <x:v>MDL/год</x:v>
      </x:c>
      <x:c r="D56" s="45" t="str">
        <x:v>До налогов</x:v>
      </x:c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 t="str">
        <x:v>Целевой денежный резерв, MDL</x:v>
      </x:c>
      <x:c r="B57" s="31" t="n">
        <x:f>IF($B$3=$B$9,B31,IF($B$3=$C$9,C31,D31))</x:f>
        <x:v>100000</x:v>
      </x:c>
      <x:c r="C57" s="7" t="str">
        <x:v>MDL</x:v>
      </x:c>
      <x:c r="D57" s="45" t="str">
        <x:v>Минимальный запас ликвидности</x:v>
      </x:c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45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45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 ht="23" customHeight="1">
      <x:c r="A60" s="16" t="str">
        <x:v>Тарифы и целевой mix</x:v>
      </x:c>
      <x:c r="B60" s="16"/>
      <x:c r="C60" s="16"/>
      <x:c r="D60" s="47"/>
      <x:c r="E60" s="16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21" t="str">
        <x:v>План</x:v>
      </x:c>
      <x:c r="B61" s="21" t="str">
        <x:v>Цена, MDL/мес.</x:v>
      </x:c>
      <x:c r="C61" s="21" t="str">
        <x:v>Conservative</x:v>
      </x:c>
      <x:c r="D61" s="21" t="str">
        <x:v>Base</x:v>
      </x:c>
      <x:c r="E61" s="21" t="str">
        <x:v>Upside</x:v>
      </x:c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 t="str">
        <x:v>Concierge Pilot</x:v>
      </x:c>
      <x:c r="B62" s="26" t="n">
        <x:v>300</x:v>
      </x:c>
      <x:c r="C62" s="25" t="n">
        <x:v>0</x:v>
      </x:c>
      <x:c r="D62" s="50" t="n">
        <x:v>0</x:v>
      </x:c>
      <x:c r="E62" s="25" t="n">
        <x:v>0</x:v>
      </x:c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 t="str">
        <x:v>Solo</x:v>
      </x:c>
      <x:c r="B63" s="26" t="n">
        <x:v>349</x:v>
      </x:c>
      <x:c r="C63" s="25" t="n">
        <x:v>0.75</x:v>
      </x:c>
      <x:c r="D63" s="50" t="n">
        <x:v>0.6</x:v>
      </x:c>
      <x:c r="E63" s="25" t="n">
        <x:v>0.5</x:v>
      </x:c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 t="str">
        <x:v>Studio</x:v>
      </x:c>
      <x:c r="B64" s="26" t="n">
        <x:v>899</x:v>
      </x:c>
      <x:c r="C64" s="25" t="n">
        <x:v>0.23</x:v>
      </x:c>
      <x:c r="D64" s="50" t="n">
        <x:v>0.35</x:v>
      </x:c>
      <x:c r="E64" s="25" t="n">
        <x:v>0.4</x:v>
      </x:c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 t="str">
        <x:v>Studio+</x:v>
      </x:c>
      <x:c r="B65" s="28" t="n">
        <x:v>1699</x:v>
      </x:c>
      <x:c r="C65" s="33" t="n">
        <x:v>0.02</x:v>
      </x:c>
      <x:c r="D65" s="53" t="n">
        <x:v>0.05</x:v>
      </x:c>
      <x:c r="E65" s="33" t="n">
        <x:v>0.1</x:v>
      </x:c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36" t="str">
        <x:v>Weighted list ARPA</x:v>
      </x:c>
      <x:c r="B66" s="36"/>
      <x:c r="C66" s="37" t="n">
        <x:f>SUMPRODUCT($B$63:$B$65,C63:C65)</x:f>
        <x:v>502.5</x:v>
      </x:c>
      <x:c r="D66" s="54" t="n">
        <x:f>SUMPRODUCT($B$63:$B$65,D63:D65)</x:f>
        <x:v>609</x:v>
      </x:c>
      <x:c r="E66" s="37" t="n">
        <x:f>SUMPRODUCT($B$63:$B$65,E63:E65)</x:f>
        <x:v>704</x:v>
      </x:c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45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45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 ht="23" customHeight="1">
      <x:c r="A69" s="16" t="str">
        <x:v>Распределение OPEX</x:v>
      </x:c>
      <x:c r="B69" s="16"/>
      <x:c r="C69" s="7"/>
      <x:c r="D69" s="45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21" t="str">
        <x:v>Категория</x:v>
      </x:c>
      <x:c r="B70" s="21" t="str">
        <x:v>Доля</x:v>
      </x:c>
      <x:c r="C70" s="7"/>
      <x:c r="D70" s="45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 t="str">
        <x:v>Founder compensation</x:v>
      </x:c>
      <x:c r="B71" s="25" t="n">
        <x:v>0.25</x:v>
      </x:c>
      <x:c r="C71" s="7"/>
      <x:c r="D71" s="45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 t="str">
        <x:v>Product &amp; engineering</x:v>
      </x:c>
      <x:c r="B72" s="25" t="n">
        <x:v>0.45</x:v>
      </x:c>
      <x:c r="C72" s="7"/>
      <x:c r="D72" s="45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 t="str">
        <x:v>Sales &amp; marketing</x:v>
      </x:c>
      <x:c r="B73" s="25" t="n">
        <x:v>0.1</x:v>
      </x:c>
      <x:c r="C73" s="7"/>
      <x:c r="D73" s="45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 t="str">
        <x:v>Infrastructure &amp; tools</x:v>
      </x:c>
      <x:c r="B74" s="25" t="n">
        <x:v>0.08</x:v>
      </x:c>
      <x:c r="C74" s="7"/>
      <x:c r="D74" s="45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 t="str">
        <x:v>Legal &amp; administration</x:v>
      </x:c>
      <x:c r="B75" s="25" t="n">
        <x:v>0.05</x:v>
      </x:c>
      <x:c r="C75" s="7"/>
      <x:c r="D75" s="45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 t="str">
        <x:v>Other / contingency</x:v>
      </x:c>
      <x:c r="B76" s="33" t="n">
        <x:v>0.07</x:v>
      </x:c>
      <x:c r="C76" s="7"/>
      <x:c r="D76" s="45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36" t="str">
        <x:v>Итого</x:v>
      </x:c>
      <x:c r="B77" s="40" t="n">
        <x:f>SUM(B71:B76)</x:f>
        <x:v>1</x:v>
      </x:c>
      <x:c r="C77" s="7"/>
      <x:c r="D77" s="45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45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45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 ht="23" customHeight="1">
      <x:c r="A80" s="16" t="str">
        <x:v>Налоговый и support-блок</x:v>
      </x:c>
      <x:c r="B80" s="16"/>
      <x:c r="C80" s="16"/>
      <x:c r="D80" s="4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21" t="str">
        <x:v>Показатель</x:v>
      </x:c>
      <x:c r="B81" s="21" t="str">
        <x:v>Значение</x:v>
      </x:c>
      <x:c r="C81" s="21" t="str">
        <x:v>Единица</x:v>
      </x:c>
      <x:c r="D81" s="21" t="str">
        <x:v>Источник/примечание</x:v>
      </x:c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 t="str">
        <x:v>MITP tax rate</x:v>
      </x:c>
      <x:c r="B82" s="25" t="n">
        <x:v>0.07</x:v>
      </x:c>
      <x:c r="C82" s="7" t="str">
        <x:v>% выручки</x:v>
      </x:c>
      <x:c r="D82" s="45" t="str">
        <x:v>Официальная страница MITP</x:v>
      </x:c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 t="str">
        <x:v>Средняя зарплата 2026</x:v>
      </x:c>
      <x:c r="B83" s="26" t="n">
        <x:v>17400</x:v>
      </x:c>
      <x:c r="C83" s="7" t="str">
        <x:v>MDL/мес.</x:v>
      </x:c>
      <x:c r="D83" s="45" t="str">
        <x:v>Правительство Молдовы</x:v>
      </x:c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 t="str">
        <x:v>Минимум MITP</x:v>
      </x:c>
      <x:c r="B84" s="25" t="n">
        <x:v>0.3</x:v>
      </x:c>
      <x:c r="C84" s="7" t="str">
        <x:v>% средней зарплаты/сотр.</x:v>
      </x:c>
      <x:c r="D84" s="45" t="str">
        <x:v>Применяется MAX(7% выручки; минимум)</x:v>
      </x:c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 t="str">
        <x:v>Сотрудники, Year 1</x:v>
      </x:c>
      <x:c r="B85" s="27" t="n">
        <x:v>1</x:v>
      </x:c>
      <x:c r="C85" s="7" t="str">
        <x:v>FTE</x:v>
      </x:c>
      <x:c r="D85" s="45" t="str">
        <x:v>Сценарное допущение</x:v>
      </x:c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 t="str">
        <x:v>Сотрудники, Year 2</x:v>
      </x:c>
      <x:c r="B86" s="27" t="n">
        <x:v>2</x:v>
      </x:c>
      <x:c r="C86" s="7" t="str">
        <x:v>FTE</x:v>
      </x:c>
      <x:c r="D86" s="45" t="str">
        <x:v>Сценарное допущение</x:v>
      </x:c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 t="str">
        <x:v>Сотрудники, Year 3</x:v>
      </x:c>
      <x:c r="B87" s="27" t="n">
        <x:v>4</x:v>
      </x:c>
      <x:c r="C87" s="7" t="str">
        <x:v>FTE</x:v>
      </x:c>
      <x:c r="D87" s="45" t="str">
        <x:v>Сценарное допущение</x:v>
      </x:c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 t="str">
        <x:v>Support time</x:v>
      </x:c>
      <x:c r="B88" s="27" t="n">
        <x:v>20</x:v>
      </x:c>
      <x:c r="C88" s="7" t="str">
        <x:v>мин./аккаунт/мес.</x:v>
      </x:c>
      <x:c r="D88" s="45" t="str">
        <x:v>Целевой максимум после beta</x:v>
      </x:c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 t="str">
        <x:v>Внутренняя стоимость часа</x:v>
      </x:c>
      <x:c r="B89" s="28" t="n">
        <x:v>250</x:v>
      </x:c>
      <x:c r="C89" s="7" t="str">
        <x:v>MDL/час</x:v>
      </x:c>
      <x:c r="D89" s="45" t="str">
        <x:v>Сценарное допущение</x:v>
      </x:c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45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45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44" t="str">
        <x:v>Синие ячейки — редактируемые допущения. Зелёные значения — ссылки внутри книги. Налоговый расчёт MITP является ориентировочным и требует проверки бухгалтером до принятия решения.</x:v>
      </x:c>
      <x:c r="B92" s="44"/>
      <x:c r="C92" s="44"/>
      <x:c r="D92" s="44"/>
      <x:c r="E92" s="44"/>
      <x:c r="F92" s="44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44"/>
      <x:c r="B93" s="44"/>
      <x:c r="C93" s="44"/>
      <x:c r="D93" s="44"/>
      <x:c r="E93" s="44"/>
      <x:c r="F93" s="44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44"/>
      <x:c r="B94" s="44"/>
      <x:c r="C94" s="44"/>
      <x:c r="D94" s="44"/>
      <x:c r="E94" s="44"/>
      <x:c r="F94" s="44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F1"/>
    <x:mergeCell ref="A8:D8"/>
    <x:mergeCell ref="A34:D34"/>
    <x:mergeCell ref="A60:E60"/>
    <x:mergeCell ref="A69:B69"/>
    <x:mergeCell ref="A80:D80"/>
    <x:mergeCell ref="A92:F94"/>
  </x:mergeCells>
  <x:dataValidations count="2">
    <x:dataValidation type="list" sqref="B3">
      <x:formula1>"Conservative,Base,Upside"</x:formula1>
    </x:dataValidation>
    <x:dataValidation type="list" sqref="B6">
      <x:formula1>"None / Pre-tax,MITP estimate"</x:formula1>
    </x:dataValidation>
  </x:dataValidations>
  <x:pageMargins left="0.7" right="0.7" top="0.75" bottom="0.75" header="0.3" footer="0.3"/>
  <x:legacyDrawing xmlns:r="http://schemas.openxmlformats.org/officeDocument/2006/relationships" r:id="R236387b1bf6b47c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6" t="str">
        <x:v>Nail Profit OS — Помесячная модель (36 месяцев)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56" t="str">
        <x:v>Сценарий</x:v>
      </x:c>
      <x:c r="B3" s="56"/>
      <x:c r="C3" s="57" t="str">
        <x:f>'Assumptions'!$B$3</x:f>
        <x:v>Base</x:v>
      </x:c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  <x:c r="AA3" s="56"/>
      <x:c r="AB3" s="56"/>
      <x:c r="AC3" s="56"/>
      <x:c r="AD3" s="56"/>
      <x:c r="AE3" s="56"/>
      <x:c r="AF3" s="56"/>
      <x:c r="AG3" s="56"/>
      <x:c r="AH3" s="56"/>
      <x:c r="AI3" s="56"/>
      <x:c r="AJ3" s="56"/>
      <x:c r="AK3" s="56"/>
      <x:c r="AL3" s="56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56" t="str">
        <x:v>Месяц модели</x:v>
      </x:c>
      <x:c r="B4" s="56"/>
      <x:c r="C4" s="59" t="n">
        <x:v>1</x:v>
      </x:c>
      <x:c r="D4" s="59" t="n">
        <x:v>2</x:v>
      </x:c>
      <x:c r="E4" s="59" t="n">
        <x:v>3</x:v>
      </x:c>
      <x:c r="F4" s="59" t="n">
        <x:v>4</x:v>
      </x:c>
      <x:c r="G4" s="59" t="n">
        <x:v>5</x:v>
      </x:c>
      <x:c r="H4" s="59" t="n">
        <x:v>6</x:v>
      </x:c>
      <x:c r="I4" s="59" t="n">
        <x:v>7</x:v>
      </x:c>
      <x:c r="J4" s="59" t="n">
        <x:v>8</x:v>
      </x:c>
      <x:c r="K4" s="59" t="n">
        <x:v>9</x:v>
      </x:c>
      <x:c r="L4" s="59" t="n">
        <x:v>10</x:v>
      </x:c>
      <x:c r="M4" s="59" t="n">
        <x:v>11</x:v>
      </x:c>
      <x:c r="N4" s="59" t="n">
        <x:v>12</x:v>
      </x:c>
      <x:c r="O4" s="59" t="n">
        <x:v>13</x:v>
      </x:c>
      <x:c r="P4" s="59" t="n">
        <x:v>14</x:v>
      </x:c>
      <x:c r="Q4" s="59" t="n">
        <x:v>15</x:v>
      </x:c>
      <x:c r="R4" s="59" t="n">
        <x:v>16</x:v>
      </x:c>
      <x:c r="S4" s="59" t="n">
        <x:v>17</x:v>
      </x:c>
      <x:c r="T4" s="59" t="n">
        <x:v>18</x:v>
      </x:c>
      <x:c r="U4" s="59" t="n">
        <x:v>19</x:v>
      </x:c>
      <x:c r="V4" s="59" t="n">
        <x:v>20</x:v>
      </x:c>
      <x:c r="W4" s="59" t="n">
        <x:v>21</x:v>
      </x:c>
      <x:c r="X4" s="59" t="n">
        <x:v>22</x:v>
      </x:c>
      <x:c r="Y4" s="59" t="n">
        <x:v>23</x:v>
      </x:c>
      <x:c r="Z4" s="59" t="n">
        <x:v>24</x:v>
      </x:c>
      <x:c r="AA4" s="59" t="n">
        <x:v>25</x:v>
      </x:c>
      <x:c r="AB4" s="59" t="n">
        <x:v>26</x:v>
      </x:c>
      <x:c r="AC4" s="59" t="n">
        <x:v>27</x:v>
      </x:c>
      <x:c r="AD4" s="59" t="n">
        <x:v>28</x:v>
      </x:c>
      <x:c r="AE4" s="59" t="n">
        <x:v>29</x:v>
      </x:c>
      <x:c r="AF4" s="59" t="n">
        <x:v>30</x:v>
      </x:c>
      <x:c r="AG4" s="59" t="n">
        <x:v>31</x:v>
      </x:c>
      <x:c r="AH4" s="59" t="n">
        <x:v>32</x:v>
      </x:c>
      <x:c r="AI4" s="59" t="n">
        <x:v>33</x:v>
      </x:c>
      <x:c r="AJ4" s="59" t="n">
        <x:v>34</x:v>
      </x:c>
      <x:c r="AK4" s="59" t="n">
        <x:v>35</x:v>
      </x:c>
      <x:c r="AL4" s="59" t="n">
        <x:v>36</x:v>
      </x:c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21" t="str">
        <x:v>Период</x:v>
      </x:c>
      <x:c r="B5" s="21"/>
      <x:c r="C5" s="60" t="n">
        <x:f>'Assumptions'!$B$5</x:f>
        <x:v>46266</x:v>
      </x:c>
      <x:c r="D5" s="60" t="n">
        <x:f>EDATE(C5,1)</x:f>
        <x:v>46296</x:v>
      </x:c>
      <x:c r="E5" s="60" t="n">
        <x:f>EDATE(D5,1)</x:f>
        <x:v>46327</x:v>
      </x:c>
      <x:c r="F5" s="60" t="n">
        <x:f>EDATE(E5,1)</x:f>
        <x:v>46357</x:v>
      </x:c>
      <x:c r="G5" s="60" t="n">
        <x:f>EDATE(F5,1)</x:f>
        <x:v>46388</x:v>
      </x:c>
      <x:c r="H5" s="60" t="n">
        <x:f>EDATE(G5,1)</x:f>
        <x:v>46419</x:v>
      </x:c>
      <x:c r="I5" s="60" t="n">
        <x:f>EDATE(H5,1)</x:f>
        <x:v>46447</x:v>
      </x:c>
      <x:c r="J5" s="60" t="n">
        <x:f>EDATE(I5,1)</x:f>
        <x:v>46478</x:v>
      </x:c>
      <x:c r="K5" s="60" t="n">
        <x:f>EDATE(J5,1)</x:f>
        <x:v>46508</x:v>
      </x:c>
      <x:c r="L5" s="60" t="n">
        <x:f>EDATE(K5,1)</x:f>
        <x:v>46539</x:v>
      </x:c>
      <x:c r="M5" s="60" t="n">
        <x:f>EDATE(L5,1)</x:f>
        <x:v>46569</x:v>
      </x:c>
      <x:c r="N5" s="60" t="n">
        <x:f>EDATE(M5,1)</x:f>
        <x:v>46600</x:v>
      </x:c>
      <x:c r="O5" s="60" t="n">
        <x:f>EDATE(N5,1)</x:f>
        <x:v>46631</x:v>
      </x:c>
      <x:c r="P5" s="60" t="n">
        <x:f>EDATE(O5,1)</x:f>
        <x:v>46661</x:v>
      </x:c>
      <x:c r="Q5" s="60" t="n">
        <x:f>EDATE(P5,1)</x:f>
        <x:v>46692</x:v>
      </x:c>
      <x:c r="R5" s="60" t="n">
        <x:f>EDATE(Q5,1)</x:f>
        <x:v>46722</x:v>
      </x:c>
      <x:c r="S5" s="60" t="n">
        <x:f>EDATE(R5,1)</x:f>
        <x:v>46753</x:v>
      </x:c>
      <x:c r="T5" s="60" t="n">
        <x:f>EDATE(S5,1)</x:f>
        <x:v>46784</x:v>
      </x:c>
      <x:c r="U5" s="60" t="n">
        <x:f>EDATE(T5,1)</x:f>
        <x:v>46813</x:v>
      </x:c>
      <x:c r="V5" s="60" t="n">
        <x:f>EDATE(U5,1)</x:f>
        <x:v>46844</x:v>
      </x:c>
      <x:c r="W5" s="60" t="n">
        <x:f>EDATE(V5,1)</x:f>
        <x:v>46874</x:v>
      </x:c>
      <x:c r="X5" s="60" t="n">
        <x:f>EDATE(W5,1)</x:f>
        <x:v>46905</x:v>
      </x:c>
      <x:c r="Y5" s="60" t="n">
        <x:f>EDATE(X5,1)</x:f>
        <x:v>46935</x:v>
      </x:c>
      <x:c r="Z5" s="60" t="n">
        <x:f>EDATE(Y5,1)</x:f>
        <x:v>46966</x:v>
      </x:c>
      <x:c r="AA5" s="60" t="n">
        <x:f>EDATE(Z5,1)</x:f>
        <x:v>46997</x:v>
      </x:c>
      <x:c r="AB5" s="60" t="n">
        <x:f>EDATE(AA5,1)</x:f>
        <x:v>47027</x:v>
      </x:c>
      <x:c r="AC5" s="60" t="n">
        <x:f>EDATE(AB5,1)</x:f>
        <x:v>47058</x:v>
      </x:c>
      <x:c r="AD5" s="60" t="n">
        <x:f>EDATE(AC5,1)</x:f>
        <x:v>47088</x:v>
      </x:c>
      <x:c r="AE5" s="60" t="n">
        <x:f>EDATE(AD5,1)</x:f>
        <x:v>47119</x:v>
      </x:c>
      <x:c r="AF5" s="60" t="n">
        <x:f>EDATE(AE5,1)</x:f>
        <x:v>47150</x:v>
      </x:c>
      <x:c r="AG5" s="60" t="n">
        <x:f>EDATE(AF5,1)</x:f>
        <x:v>47178</x:v>
      </x:c>
      <x:c r="AH5" s="60" t="n">
        <x:f>EDATE(AG5,1)</x:f>
        <x:v>47209</x:v>
      </x:c>
      <x:c r="AI5" s="60" t="n">
        <x:f>EDATE(AH5,1)</x:f>
        <x:v>47239</x:v>
      </x:c>
      <x:c r="AJ5" s="60" t="n">
        <x:f>EDATE(AI5,1)</x:f>
        <x:v>47270</x:v>
      </x:c>
      <x:c r="AK5" s="60" t="n">
        <x:f>EDATE(AJ5,1)</x:f>
        <x:v>47300</x:v>
      </x:c>
      <x:c r="AL5" s="60" t="n">
        <x:f>EDATE(AK5,1)</x:f>
        <x:v>47331</x:v>
      </x:c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 ht="23" customHeight="1">
      <x:c r="A7" s="16" t="str">
        <x:v>Аккаунты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6"/>
      <x:c r="AL7" s="16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 t="str">
        <x:v>Аккаунты на начало</x:v>
      </x:c>
      <x:c r="B8" s="7"/>
      <x:c r="C8" s="32" t="n">
        <x:f>'Assumptions'!$B$38</x:f>
        <x:v>3</x:v>
      </x:c>
      <x:c r="D8" s="32" t="n">
        <x:f>C12</x:f>
        <x:v>6.91</x:v>
      </x:c>
      <x:c r="E8" s="32" t="n">
        <x:f>D12</x:f>
        <x:v>10.7027</x:v>
      </x:c>
      <x:c r="F8" s="32" t="n">
        <x:f>E12</x:f>
        <x:v>14.381619</x:v>
      </x:c>
      <x:c r="G8" s="32" t="n">
        <x:f>F12</x:f>
        <x:v>17.95017043</x:v>
      </x:c>
      <x:c r="H8" s="32" t="n">
        <x:f>G12</x:f>
        <x:v>21.4116653171</x:v>
      </x:c>
      <x:c r="I8" s="32" t="n">
        <x:f>H12</x:f>
        <x:v>24.769315357587</x:v>
      </x:c>
      <x:c r="J8" s="32" t="n">
        <x:f>I12</x:f>
        <x:v>32.0262358968594</x:v>
      </x:c>
      <x:c r="K8" s="32" t="n">
        <x:f>J12</x:f>
        <x:v>39.065448819953616</x:v>
      </x:c>
      <x:c r="L8" s="32" t="n">
        <x:f>K12</x:f>
        <x:v>45.89348535535501</x:v>
      </x:c>
      <x:c r="M8" s="32" t="n">
        <x:f>L12</x:f>
        <x:v>52.51668079469436</x:v>
      </x:c>
      <x:c r="N8" s="32" t="n">
        <x:f>M12</x:f>
        <x:v>58.94118037085353</x:v>
      </x:c>
      <x:c r="O8" s="32" t="n">
        <x:f>N12</x:f>
        <x:v>65.17294495972793</x:v>
      </x:c>
      <x:c r="P8" s="32" t="n">
        <x:f>O12</x:f>
        <x:v>80.21775661093609</x:v>
      </x:c>
      <x:c r="Q8" s="32" t="n">
        <x:f>P12</x:f>
        <x:v>94.81122391260801</x:v>
      </x:c>
      <x:c r="R8" s="32" t="n">
        <x:f>Q12</x:f>
        <x:v>108.96688719522977</x:v>
      </x:c>
      <x:c r="S8" s="32" t="n">
        <x:f>R12</x:f>
        <x:v>122.69788057937288</x:v>
      </x:c>
      <x:c r="T8" s="32" t="n">
        <x:f>S12</x:f>
        <x:v>136.0169441619917</x:v>
      </x:c>
      <x:c r="U8" s="32" t="n">
        <x:f>T12</x:f>
        <x:v>148.93643583713194</x:v>
      </x:c>
      <x:c r="V8" s="32" t="n">
        <x:f>U12</x:f>
        <x:v>161.46834276201798</x:v>
      </x:c>
      <x:c r="W8" s="32" t="n">
        <x:f>V12</x:f>
        <x:v>173.62429247915745</x:v>
      </x:c>
      <x:c r="X8" s="32" t="n">
        <x:f>W12</x:f>
        <x:v>185.41556370478273</x:v>
      </x:c>
      <x:c r="Y8" s="32" t="n">
        <x:f>X12</x:f>
        <x:v>196.85309679363925</x:v>
      </x:c>
      <x:c r="Z8" s="32" t="n">
        <x:f>Y12</x:f>
        <x:v>207.94750388983007</x:v>
      </x:c>
      <x:c r="AA8" s="32" t="n">
        <x:f>Z12</x:f>
        <x:v>218.70907877313516</x:v>
      </x:c>
      <x:c r="AB8" s="32" t="n">
        <x:f>AA12</x:f>
        <x:v>251.1478064099411</x:v>
      </x:c>
      <x:c r="AC8" s="32" t="n">
        <x:f>AB12</x:f>
        <x:v>282.61337221764285</x:v>
      </x:c>
      <x:c r="AD8" s="32" t="n">
        <x:f>AC12</x:f>
        <x:v>313.13497105111355</x:v>
      </x:c>
      <x:c r="AE8" s="32" t="n">
        <x:f>AD12</x:f>
        <x:v>342.74092191958016</x:v>
      </x:c>
      <x:c r="AF8" s="32" t="n">
        <x:f>AE12</x:f>
        <x:v>371.4586942619928</x:v>
      </x:c>
      <x:c r="AG8" s="32" t="n">
        <x:f>AF12</x:f>
        <x:v>399.31493343413297</x:v>
      </x:c>
      <x:c r="AH8" s="32" t="n">
        <x:f>AG12</x:f>
        <x:v>426.33548543110896</x:v>
      </x:c>
      <x:c r="AI8" s="32" t="n">
        <x:f>AH12</x:f>
        <x:v>452.5454208681757</x:v>
      </x:c>
      <x:c r="AJ8" s="32" t="n">
        <x:f>AI12</x:f>
        <x:v>477.9690582421304</x:v>
      </x:c>
      <x:c r="AK8" s="32" t="n">
        <x:f>AJ12</x:f>
        <x:v>502.62998649486644</x:v>
      </x:c>
      <x:c r="AL8" s="32" t="n">
        <x:f>AK12</x:f>
        <x:v>526.5510869000204</x:v>
      </x:c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7" t="str">
        <x:v>Новые аккаунты</x:v>
      </x:c>
      <x:c r="B9" s="7"/>
      <x:c r="C9" s="32" t="n">
        <x:f>IF(C$4&lt;=6,'Assumptions'!$B$41,IF(C$4&lt;=12,'Assumptions'!$B$42,IF(C$4&lt;=24,'Assumptions'!$B$43,'Assumptions'!$B$44)))</x:f>
        <x:v>4</x:v>
      </x:c>
      <x:c r="D9" s="32" t="n">
        <x:f>IF(D$4&lt;=6,'Assumptions'!$B$41,IF(D$4&lt;=12,'Assumptions'!$B$42,IF(D$4&lt;=24,'Assumptions'!$B$43,'Assumptions'!$B$44)))</x:f>
        <x:v>4</x:v>
      </x:c>
      <x:c r="E9" s="32" t="n">
        <x:f>IF(E$4&lt;=6,'Assumptions'!$B$41,IF(E$4&lt;=12,'Assumptions'!$B$42,IF(E$4&lt;=24,'Assumptions'!$B$43,'Assumptions'!$B$44)))</x:f>
        <x:v>4</x:v>
      </x:c>
      <x:c r="F9" s="32" t="n">
        <x:f>IF(F$4&lt;=6,'Assumptions'!$B$41,IF(F$4&lt;=12,'Assumptions'!$B$42,IF(F$4&lt;=24,'Assumptions'!$B$43,'Assumptions'!$B$44)))</x:f>
        <x:v>4</x:v>
      </x:c>
      <x:c r="G9" s="32" t="n">
        <x:f>IF(G$4&lt;=6,'Assumptions'!$B$41,IF(G$4&lt;=12,'Assumptions'!$B$42,IF(G$4&lt;=24,'Assumptions'!$B$43,'Assumptions'!$B$44)))</x:f>
        <x:v>4</x:v>
      </x:c>
      <x:c r="H9" s="32" t="n">
        <x:f>IF(H$4&lt;=6,'Assumptions'!$B$41,IF(H$4&lt;=12,'Assumptions'!$B$42,IF(H$4&lt;=24,'Assumptions'!$B$43,'Assumptions'!$B$44)))</x:f>
        <x:v>4</x:v>
      </x:c>
      <x:c r="I9" s="32" t="n">
        <x:f>IF(I$4&lt;=6,'Assumptions'!$B$41,IF(I$4&lt;=12,'Assumptions'!$B$42,IF(I$4&lt;=24,'Assumptions'!$B$43,'Assumptions'!$B$44)))</x:f>
        <x:v>8</x:v>
      </x:c>
      <x:c r="J9" s="32" t="n">
        <x:f>IF(J$4&lt;=6,'Assumptions'!$B$41,IF(J$4&lt;=12,'Assumptions'!$B$42,IF(J$4&lt;=24,'Assumptions'!$B$43,'Assumptions'!$B$44)))</x:f>
        <x:v>8</x:v>
      </x:c>
      <x:c r="K9" s="32" t="n">
        <x:f>IF(K$4&lt;=6,'Assumptions'!$B$41,IF(K$4&lt;=12,'Assumptions'!$B$42,IF(K$4&lt;=24,'Assumptions'!$B$43,'Assumptions'!$B$44)))</x:f>
        <x:v>8</x:v>
      </x:c>
      <x:c r="L9" s="32" t="n">
        <x:f>IF(L$4&lt;=6,'Assumptions'!$B$41,IF(L$4&lt;=12,'Assumptions'!$B$42,IF(L$4&lt;=24,'Assumptions'!$B$43,'Assumptions'!$B$44)))</x:f>
        <x:v>8</x:v>
      </x:c>
      <x:c r="M9" s="32" t="n">
        <x:f>IF(M$4&lt;=6,'Assumptions'!$B$41,IF(M$4&lt;=12,'Assumptions'!$B$42,IF(M$4&lt;=24,'Assumptions'!$B$43,'Assumptions'!$B$44)))</x:f>
        <x:v>8</x:v>
      </x:c>
      <x:c r="N9" s="32" t="n">
        <x:f>IF(N$4&lt;=6,'Assumptions'!$B$41,IF(N$4&lt;=12,'Assumptions'!$B$42,IF(N$4&lt;=24,'Assumptions'!$B$43,'Assumptions'!$B$44)))</x:f>
        <x:v>8</x:v>
      </x:c>
      <x:c r="O9" s="32" t="n">
        <x:f>IF(O$4&lt;=6,'Assumptions'!$B$41,IF(O$4&lt;=12,'Assumptions'!$B$42,IF(O$4&lt;=24,'Assumptions'!$B$43,'Assumptions'!$B$44)))</x:f>
        <x:v>17</x:v>
      </x:c>
      <x:c r="P9" s="32" t="n">
        <x:f>IF(P$4&lt;=6,'Assumptions'!$B$41,IF(P$4&lt;=12,'Assumptions'!$B$42,IF(P$4&lt;=24,'Assumptions'!$B$43,'Assumptions'!$B$44)))</x:f>
        <x:v>17</x:v>
      </x:c>
      <x:c r="Q9" s="32" t="n">
        <x:f>IF(Q$4&lt;=6,'Assumptions'!$B$41,IF(Q$4&lt;=12,'Assumptions'!$B$42,IF(Q$4&lt;=24,'Assumptions'!$B$43,'Assumptions'!$B$44)))</x:f>
        <x:v>17</x:v>
      </x:c>
      <x:c r="R9" s="32" t="n">
        <x:f>IF(R$4&lt;=6,'Assumptions'!$B$41,IF(R$4&lt;=12,'Assumptions'!$B$42,IF(R$4&lt;=24,'Assumptions'!$B$43,'Assumptions'!$B$44)))</x:f>
        <x:v>17</x:v>
      </x:c>
      <x:c r="S9" s="32" t="n">
        <x:f>IF(S$4&lt;=6,'Assumptions'!$B$41,IF(S$4&lt;=12,'Assumptions'!$B$42,IF(S$4&lt;=24,'Assumptions'!$B$43,'Assumptions'!$B$44)))</x:f>
        <x:v>17</x:v>
      </x:c>
      <x:c r="T9" s="32" t="n">
        <x:f>IF(T$4&lt;=6,'Assumptions'!$B$41,IF(T$4&lt;=12,'Assumptions'!$B$42,IF(T$4&lt;=24,'Assumptions'!$B$43,'Assumptions'!$B$44)))</x:f>
        <x:v>17</x:v>
      </x:c>
      <x:c r="U9" s="32" t="n">
        <x:f>IF(U$4&lt;=6,'Assumptions'!$B$41,IF(U$4&lt;=12,'Assumptions'!$B$42,IF(U$4&lt;=24,'Assumptions'!$B$43,'Assumptions'!$B$44)))</x:f>
        <x:v>17</x:v>
      </x:c>
      <x:c r="V9" s="32" t="n">
        <x:f>IF(V$4&lt;=6,'Assumptions'!$B$41,IF(V$4&lt;=12,'Assumptions'!$B$42,IF(V$4&lt;=24,'Assumptions'!$B$43,'Assumptions'!$B$44)))</x:f>
        <x:v>17</x:v>
      </x:c>
      <x:c r="W9" s="32" t="n">
        <x:f>IF(W$4&lt;=6,'Assumptions'!$B$41,IF(W$4&lt;=12,'Assumptions'!$B$42,IF(W$4&lt;=24,'Assumptions'!$B$43,'Assumptions'!$B$44)))</x:f>
        <x:v>17</x:v>
      </x:c>
      <x:c r="X9" s="32" t="n">
        <x:f>IF(X$4&lt;=6,'Assumptions'!$B$41,IF(X$4&lt;=12,'Assumptions'!$B$42,IF(X$4&lt;=24,'Assumptions'!$B$43,'Assumptions'!$B$44)))</x:f>
        <x:v>17</x:v>
      </x:c>
      <x:c r="Y9" s="32" t="n">
        <x:f>IF(Y$4&lt;=6,'Assumptions'!$B$41,IF(Y$4&lt;=12,'Assumptions'!$B$42,IF(Y$4&lt;=24,'Assumptions'!$B$43,'Assumptions'!$B$44)))</x:f>
        <x:v>17</x:v>
      </x:c>
      <x:c r="Z9" s="32" t="n">
        <x:f>IF(Z$4&lt;=6,'Assumptions'!$B$41,IF(Z$4&lt;=12,'Assumptions'!$B$42,IF(Z$4&lt;=24,'Assumptions'!$B$43,'Assumptions'!$B$44)))</x:f>
        <x:v>17</x:v>
      </x:c>
      <x:c r="AA9" s="32" t="n">
        <x:f>IF(AA$4&lt;=6,'Assumptions'!$B$41,IF(AA$4&lt;=12,'Assumptions'!$B$42,IF(AA$4&lt;=24,'Assumptions'!$B$43,'Assumptions'!$B$44)))</x:f>
        <x:v>39</x:v>
      </x:c>
      <x:c r="AB9" s="32" t="n">
        <x:f>IF(AB$4&lt;=6,'Assumptions'!$B$41,IF(AB$4&lt;=12,'Assumptions'!$B$42,IF(AB$4&lt;=24,'Assumptions'!$B$43,'Assumptions'!$B$44)))</x:f>
        <x:v>39</x:v>
      </x:c>
      <x:c r="AC9" s="32" t="n">
        <x:f>IF(AC$4&lt;=6,'Assumptions'!$B$41,IF(AC$4&lt;=12,'Assumptions'!$B$42,IF(AC$4&lt;=24,'Assumptions'!$B$43,'Assumptions'!$B$44)))</x:f>
        <x:v>39</x:v>
      </x:c>
      <x:c r="AD9" s="32" t="n">
        <x:f>IF(AD$4&lt;=6,'Assumptions'!$B$41,IF(AD$4&lt;=12,'Assumptions'!$B$42,IF(AD$4&lt;=24,'Assumptions'!$B$43,'Assumptions'!$B$44)))</x:f>
        <x:v>39</x:v>
      </x:c>
      <x:c r="AE9" s="32" t="n">
        <x:f>IF(AE$4&lt;=6,'Assumptions'!$B$41,IF(AE$4&lt;=12,'Assumptions'!$B$42,IF(AE$4&lt;=24,'Assumptions'!$B$43,'Assumptions'!$B$44)))</x:f>
        <x:v>39</x:v>
      </x:c>
      <x:c r="AF9" s="32" t="n">
        <x:f>IF(AF$4&lt;=6,'Assumptions'!$B$41,IF(AF$4&lt;=12,'Assumptions'!$B$42,IF(AF$4&lt;=24,'Assumptions'!$B$43,'Assumptions'!$B$44)))</x:f>
        <x:v>39</x:v>
      </x:c>
      <x:c r="AG9" s="32" t="n">
        <x:f>IF(AG$4&lt;=6,'Assumptions'!$B$41,IF(AG$4&lt;=12,'Assumptions'!$B$42,IF(AG$4&lt;=24,'Assumptions'!$B$43,'Assumptions'!$B$44)))</x:f>
        <x:v>39</x:v>
      </x:c>
      <x:c r="AH9" s="32" t="n">
        <x:f>IF(AH$4&lt;=6,'Assumptions'!$B$41,IF(AH$4&lt;=12,'Assumptions'!$B$42,IF(AH$4&lt;=24,'Assumptions'!$B$43,'Assumptions'!$B$44)))</x:f>
        <x:v>39</x:v>
      </x:c>
      <x:c r="AI9" s="32" t="n">
        <x:f>IF(AI$4&lt;=6,'Assumptions'!$B$41,IF(AI$4&lt;=12,'Assumptions'!$B$42,IF(AI$4&lt;=24,'Assumptions'!$B$43,'Assumptions'!$B$44)))</x:f>
        <x:v>39</x:v>
      </x:c>
      <x:c r="AJ9" s="32" t="n">
        <x:f>IF(AJ$4&lt;=6,'Assumptions'!$B$41,IF(AJ$4&lt;=12,'Assumptions'!$B$42,IF(AJ$4&lt;=24,'Assumptions'!$B$43,'Assumptions'!$B$44)))</x:f>
        <x:v>39</x:v>
      </x:c>
      <x:c r="AK9" s="32" t="n">
        <x:f>IF(AK$4&lt;=6,'Assumptions'!$B$41,IF(AK$4&lt;=12,'Assumptions'!$B$42,IF(AK$4&lt;=24,'Assumptions'!$B$43,'Assumptions'!$B$44)))</x:f>
        <x:v>39</x:v>
      </x:c>
      <x:c r="AL9" s="32" t="n">
        <x:f>IF(AL$4&lt;=6,'Assumptions'!$B$41,IF(AL$4&lt;=12,'Assumptions'!$B$42,IF(AL$4&lt;=24,'Assumptions'!$B$43,'Assumptions'!$B$44)))</x:f>
        <x:v>39</x:v>
      </x:c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7" t="str">
        <x:v>Monthly logo churn</x:v>
      </x:c>
      <x:c r="B10" s="7"/>
      <x:c r="C10" s="30" t="n">
        <x:f>'Assumptions'!$B$39</x:f>
        <x:v>0.03</x:v>
      </x:c>
      <x:c r="D10" s="30" t="n">
        <x:f>'Assumptions'!$B$39</x:f>
        <x:v>0.03</x:v>
      </x:c>
      <x:c r="E10" s="30" t="n">
        <x:f>'Assumptions'!$B$39</x:f>
        <x:v>0.03</x:v>
      </x:c>
      <x:c r="F10" s="30" t="n">
        <x:f>'Assumptions'!$B$39</x:f>
        <x:v>0.03</x:v>
      </x:c>
      <x:c r="G10" s="30" t="n">
        <x:f>'Assumptions'!$B$39</x:f>
        <x:v>0.03</x:v>
      </x:c>
      <x:c r="H10" s="30" t="n">
        <x:f>'Assumptions'!$B$39</x:f>
        <x:v>0.03</x:v>
      </x:c>
      <x:c r="I10" s="30" t="n">
        <x:f>'Assumptions'!$B$39</x:f>
        <x:v>0.03</x:v>
      </x:c>
      <x:c r="J10" s="30" t="n">
        <x:f>'Assumptions'!$B$39</x:f>
        <x:v>0.03</x:v>
      </x:c>
      <x:c r="K10" s="30" t="n">
        <x:f>'Assumptions'!$B$39</x:f>
        <x:v>0.03</x:v>
      </x:c>
      <x:c r="L10" s="30" t="n">
        <x:f>'Assumptions'!$B$39</x:f>
        <x:v>0.03</x:v>
      </x:c>
      <x:c r="M10" s="30" t="n">
        <x:f>'Assumptions'!$B$39</x:f>
        <x:v>0.03</x:v>
      </x:c>
      <x:c r="N10" s="30" t="n">
        <x:f>'Assumptions'!$B$39</x:f>
        <x:v>0.03</x:v>
      </x:c>
      <x:c r="O10" s="30" t="n">
        <x:f>'Assumptions'!$B$39</x:f>
        <x:v>0.03</x:v>
      </x:c>
      <x:c r="P10" s="30" t="n">
        <x:f>'Assumptions'!$B$39</x:f>
        <x:v>0.03</x:v>
      </x:c>
      <x:c r="Q10" s="30" t="n">
        <x:f>'Assumptions'!$B$39</x:f>
        <x:v>0.03</x:v>
      </x:c>
      <x:c r="R10" s="30" t="n">
        <x:f>'Assumptions'!$B$39</x:f>
        <x:v>0.03</x:v>
      </x:c>
      <x:c r="S10" s="30" t="n">
        <x:f>'Assumptions'!$B$39</x:f>
        <x:v>0.03</x:v>
      </x:c>
      <x:c r="T10" s="30" t="n">
        <x:f>'Assumptions'!$B$39</x:f>
        <x:v>0.03</x:v>
      </x:c>
      <x:c r="U10" s="30" t="n">
        <x:f>'Assumptions'!$B$39</x:f>
        <x:v>0.03</x:v>
      </x:c>
      <x:c r="V10" s="30" t="n">
        <x:f>'Assumptions'!$B$39</x:f>
        <x:v>0.03</x:v>
      </x:c>
      <x:c r="W10" s="30" t="n">
        <x:f>'Assumptions'!$B$39</x:f>
        <x:v>0.03</x:v>
      </x:c>
      <x:c r="X10" s="30" t="n">
        <x:f>'Assumptions'!$B$39</x:f>
        <x:v>0.03</x:v>
      </x:c>
      <x:c r="Y10" s="30" t="n">
        <x:f>'Assumptions'!$B$39</x:f>
        <x:v>0.03</x:v>
      </x:c>
      <x:c r="Z10" s="30" t="n">
        <x:f>'Assumptions'!$B$39</x:f>
        <x:v>0.03</x:v>
      </x:c>
      <x:c r="AA10" s="30" t="n">
        <x:f>'Assumptions'!$B$39</x:f>
        <x:v>0.03</x:v>
      </x:c>
      <x:c r="AB10" s="30" t="n">
        <x:f>'Assumptions'!$B$39</x:f>
        <x:v>0.03</x:v>
      </x:c>
      <x:c r="AC10" s="30" t="n">
        <x:f>'Assumptions'!$B$39</x:f>
        <x:v>0.03</x:v>
      </x:c>
      <x:c r="AD10" s="30" t="n">
        <x:f>'Assumptions'!$B$39</x:f>
        <x:v>0.03</x:v>
      </x:c>
      <x:c r="AE10" s="30" t="n">
        <x:f>'Assumptions'!$B$39</x:f>
        <x:v>0.03</x:v>
      </x:c>
      <x:c r="AF10" s="30" t="n">
        <x:f>'Assumptions'!$B$39</x:f>
        <x:v>0.03</x:v>
      </x:c>
      <x:c r="AG10" s="30" t="n">
        <x:f>'Assumptions'!$B$39</x:f>
        <x:v>0.03</x:v>
      </x:c>
      <x:c r="AH10" s="30" t="n">
        <x:f>'Assumptions'!$B$39</x:f>
        <x:v>0.03</x:v>
      </x:c>
      <x:c r="AI10" s="30" t="n">
        <x:f>'Assumptions'!$B$39</x:f>
        <x:v>0.03</x:v>
      </x:c>
      <x:c r="AJ10" s="30" t="n">
        <x:f>'Assumptions'!$B$39</x:f>
        <x:v>0.03</x:v>
      </x:c>
      <x:c r="AK10" s="30" t="n">
        <x:f>'Assumptions'!$B$39</x:f>
        <x:v>0.03</x:v>
      </x:c>
      <x:c r="AL10" s="30" t="n">
        <x:f>'Assumptions'!$B$39</x:f>
        <x:v>0.03</x:v>
      </x:c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7" t="str">
        <x:v>Ушедшие аккаунты</x:v>
      </x:c>
      <x:c r="B11" s="7"/>
      <x:c r="C11" s="62" t="n">
        <x:f>C8*C10</x:f>
        <x:v>0.09</x:v>
      </x:c>
      <x:c r="D11" s="62" t="n">
        <x:f>D8*D10</x:f>
        <x:v>0.20729999999999998</x:v>
      </x:c>
      <x:c r="E11" s="62" t="n">
        <x:f>E8*E10</x:f>
        <x:v>0.321081</x:v>
      </x:c>
      <x:c r="F11" s="62" t="n">
        <x:f>F8*F10</x:f>
        <x:v>0.43144857</x:v>
      </x:c>
      <x:c r="G11" s="62" t="n">
        <x:f>G8*G10</x:f>
        <x:v>0.5385051129</x:v>
      </x:c>
      <x:c r="H11" s="62" t="n">
        <x:f>H8*H10</x:f>
        <x:v>0.6423499595129999</x:v>
      </x:c>
      <x:c r="I11" s="62" t="n">
        <x:f>I8*I10</x:f>
        <x:v>0.74307946072761</x:v>
      </x:c>
      <x:c r="J11" s="62" t="n">
        <x:f>J8*J10</x:f>
        <x:v>0.9607870769057819</x:v>
      </x:c>
      <x:c r="K11" s="62" t="n">
        <x:f>K8*K10</x:f>
        <x:v>1.1719634645986083</x:v>
      </x:c>
      <x:c r="L11" s="62" t="n">
        <x:f>L8*L10</x:f>
        <x:v>1.3768045606606503</x:v>
      </x:c>
      <x:c r="M11" s="62" t="n">
        <x:f>M8*M10</x:f>
        <x:v>1.5755004238408308</x:v>
      </x:c>
      <x:c r="N11" s="62" t="n">
        <x:f>N8*N10</x:f>
        <x:v>1.7682354111256058</x:v>
      </x:c>
      <x:c r="O11" s="62" t="n">
        <x:f>O8*O10</x:f>
        <x:v>1.9551883487918378</x:v>
      </x:c>
      <x:c r="P11" s="62" t="n">
        <x:f>P8*P10</x:f>
        <x:v>2.406532698328083</x:v>
      </x:c>
      <x:c r="Q11" s="62" t="n">
        <x:f>Q8*Q10</x:f>
        <x:v>2.84433671737824</x:v>
      </x:c>
      <x:c r="R11" s="62" t="n">
        <x:f>R8*R10</x:f>
        <x:v>3.269006615856893</x:v>
      </x:c>
      <x:c r="S11" s="62" t="n">
        <x:f>S8*S10</x:f>
        <x:v>3.680936417381186</x:v>
      </x:c>
      <x:c r="T11" s="62" t="n">
        <x:f>T8*T10</x:f>
        <x:v>4.080508324859751</x:v>
      </x:c>
      <x:c r="U11" s="62" t="n">
        <x:f>U8*U10</x:f>
        <x:v>4.468093075113958</x:v>
      </x:c>
      <x:c r="V11" s="62" t="n">
        <x:f>V8*V10</x:f>
        <x:v>4.84405028286054</x:v>
      </x:c>
      <x:c r="W11" s="62" t="n">
        <x:f>W8*W10</x:f>
        <x:v>5.208728774374723</x:v>
      </x:c>
      <x:c r="X11" s="62" t="n">
        <x:f>X8*X10</x:f>
        <x:v>5.562466911143481</x:v>
      </x:c>
      <x:c r="Y11" s="62" t="n">
        <x:f>Y8*Y10</x:f>
        <x:v>5.905592903809177</x:v>
      </x:c>
      <x:c r="Z11" s="62" t="n">
        <x:f>Z8*Z10</x:f>
        <x:v>6.238425116694902</x:v>
      </x:c>
      <x:c r="AA11" s="62" t="n">
        <x:f>AA8*AA10</x:f>
        <x:v>6.561272363194054</x:v>
      </x:c>
      <x:c r="AB11" s="62" t="n">
        <x:f>AB8*AB10</x:f>
        <x:v>7.5344341922982325</x:v>
      </x:c>
      <x:c r="AC11" s="62" t="n">
        <x:f>AC8*AC10</x:f>
        <x:v>8.478401166529284</x:v>
      </x:c>
      <x:c r="AD11" s="62" t="n">
        <x:f>AD8*AD10</x:f>
        <x:v>9.394049131533405</x:v>
      </x:c>
      <x:c r="AE11" s="62" t="n">
        <x:f>AE8*AE10</x:f>
        <x:v>10.282227657587404</x:v>
      </x:c>
      <x:c r="AF11" s="62" t="n">
        <x:f>AF8*AF10</x:f>
        <x:v>11.143760827859783</x:v>
      </x:c>
      <x:c r="AG11" s="62" t="n">
        <x:f>AG8*AG10</x:f>
        <x:v>11.979448003023988</x:v>
      </x:c>
      <x:c r="AH11" s="62" t="n">
        <x:f>AH8*AH10</x:f>
        <x:v>12.790064562933269</x:v>
      </x:c>
      <x:c r="AI11" s="62" t="n">
        <x:f>AI8*AI10</x:f>
        <x:v>13.57636262604527</x:v>
      </x:c>
      <x:c r="AJ11" s="62" t="n">
        <x:f>AJ8*AJ10</x:f>
        <x:v>14.339071747263912</x:v>
      </x:c>
      <x:c r="AK11" s="62" t="n">
        <x:f>AK8*AK10</x:f>
        <x:v>15.078899594845993</x:v>
      </x:c>
      <x:c r="AL11" s="62" t="n">
        <x:f>AL8*AL10</x:f>
        <x:v>15.796532607000612</x:v>
      </x:c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36" t="str">
        <x:v>Аккаунты на конец</x:v>
      </x:c>
      <x:c r="B12" s="36"/>
      <x:c r="C12" s="65" t="n">
        <x:f>MAX(0,C8+C9-C11)</x:f>
        <x:v>6.91</x:v>
      </x:c>
      <x:c r="D12" s="65" t="n">
        <x:f>MAX(0,D8+D9-D11)</x:f>
        <x:v>10.7027</x:v>
      </x:c>
      <x:c r="E12" s="65" t="n">
        <x:f>MAX(0,E8+E9-E11)</x:f>
        <x:v>14.381619</x:v>
      </x:c>
      <x:c r="F12" s="65" t="n">
        <x:f>MAX(0,F8+F9-F11)</x:f>
        <x:v>17.95017043</x:v>
      </x:c>
      <x:c r="G12" s="65" t="n">
        <x:f>MAX(0,G8+G9-G11)</x:f>
        <x:v>21.4116653171</x:v>
      </x:c>
      <x:c r="H12" s="65" t="n">
        <x:f>MAX(0,H8+H9-H11)</x:f>
        <x:v>24.769315357587</x:v>
      </x:c>
      <x:c r="I12" s="65" t="n">
        <x:f>MAX(0,I8+I9-I11)</x:f>
        <x:v>32.0262358968594</x:v>
      </x:c>
      <x:c r="J12" s="65" t="n">
        <x:f>MAX(0,J8+J9-J11)</x:f>
        <x:v>39.065448819953616</x:v>
      </x:c>
      <x:c r="K12" s="65" t="n">
        <x:f>MAX(0,K8+K9-K11)</x:f>
        <x:v>45.89348535535501</x:v>
      </x:c>
      <x:c r="L12" s="65" t="n">
        <x:f>MAX(0,L8+L9-L11)</x:f>
        <x:v>52.51668079469436</x:v>
      </x:c>
      <x:c r="M12" s="65" t="n">
        <x:f>MAX(0,M8+M9-M11)</x:f>
        <x:v>58.94118037085353</x:v>
      </x:c>
      <x:c r="N12" s="65" t="n">
        <x:f>MAX(0,N8+N9-N11)</x:f>
        <x:v>65.17294495972793</x:v>
      </x:c>
      <x:c r="O12" s="65" t="n">
        <x:f>MAX(0,O8+O9-O11)</x:f>
        <x:v>80.21775661093609</x:v>
      </x:c>
      <x:c r="P12" s="65" t="n">
        <x:f>MAX(0,P8+P9-P11)</x:f>
        <x:v>94.81122391260801</x:v>
      </x:c>
      <x:c r="Q12" s="65" t="n">
        <x:f>MAX(0,Q8+Q9-Q11)</x:f>
        <x:v>108.96688719522977</x:v>
      </x:c>
      <x:c r="R12" s="65" t="n">
        <x:f>MAX(0,R8+R9-R11)</x:f>
        <x:v>122.69788057937288</x:v>
      </x:c>
      <x:c r="S12" s="65" t="n">
        <x:f>MAX(0,S8+S9-S11)</x:f>
        <x:v>136.0169441619917</x:v>
      </x:c>
      <x:c r="T12" s="65" t="n">
        <x:f>MAX(0,T8+T9-T11)</x:f>
        <x:v>148.93643583713194</x:v>
      </x:c>
      <x:c r="U12" s="65" t="n">
        <x:f>MAX(0,U8+U9-U11)</x:f>
        <x:v>161.46834276201798</x:v>
      </x:c>
      <x:c r="V12" s="65" t="n">
        <x:f>MAX(0,V8+V9-V11)</x:f>
        <x:v>173.62429247915745</x:v>
      </x:c>
      <x:c r="W12" s="65" t="n">
        <x:f>MAX(0,W8+W9-W11)</x:f>
        <x:v>185.41556370478273</x:v>
      </x:c>
      <x:c r="X12" s="65" t="n">
        <x:f>MAX(0,X8+X9-X11)</x:f>
        <x:v>196.85309679363925</x:v>
      </x:c>
      <x:c r="Y12" s="65" t="n">
        <x:f>MAX(0,Y8+Y9-Y11)</x:f>
        <x:v>207.94750388983007</x:v>
      </x:c>
      <x:c r="Z12" s="65" t="n">
        <x:f>MAX(0,Z8+Z9-Z11)</x:f>
        <x:v>218.70907877313516</x:v>
      </x:c>
      <x:c r="AA12" s="65" t="n">
        <x:f>MAX(0,AA8+AA9-AA11)</x:f>
        <x:v>251.1478064099411</x:v>
      </x:c>
      <x:c r="AB12" s="65" t="n">
        <x:f>MAX(0,AB8+AB9-AB11)</x:f>
        <x:v>282.61337221764285</x:v>
      </x:c>
      <x:c r="AC12" s="65" t="n">
        <x:f>MAX(0,AC8+AC9-AC11)</x:f>
        <x:v>313.13497105111355</x:v>
      </x:c>
      <x:c r="AD12" s="65" t="n">
        <x:f>MAX(0,AD8+AD9-AD11)</x:f>
        <x:v>342.74092191958016</x:v>
      </x:c>
      <x:c r="AE12" s="65" t="n">
        <x:f>MAX(0,AE8+AE9-AE11)</x:f>
        <x:v>371.4586942619928</x:v>
      </x:c>
      <x:c r="AF12" s="65" t="n">
        <x:f>MAX(0,AF8+AF9-AF11)</x:f>
        <x:v>399.31493343413297</x:v>
      </x:c>
      <x:c r="AG12" s="65" t="n">
        <x:f>MAX(0,AG8+AG9-AG11)</x:f>
        <x:v>426.33548543110896</x:v>
      </x:c>
      <x:c r="AH12" s="65" t="n">
        <x:f>MAX(0,AH8+AH9-AH11)</x:f>
        <x:v>452.5454208681757</x:v>
      </x:c>
      <x:c r="AI12" s="65" t="n">
        <x:f>MAX(0,AI8+AI9-AI11)</x:f>
        <x:v>477.9690582421304</x:v>
      </x:c>
      <x:c r="AJ12" s="65" t="n">
        <x:f>MAX(0,AJ8+AJ9-AJ11)</x:f>
        <x:v>502.62998649486644</x:v>
      </x:c>
      <x:c r="AK12" s="65" t="n">
        <x:f>MAX(0,AK8+AK9-AK11)</x:f>
        <x:v>526.5510869000204</x:v>
      </x:c>
      <x:c r="AL12" s="65" t="n">
        <x:f>MAX(0,AL8+AL9-AL11)</x:f>
        <x:v>549.7545542930199</x:v>
      </x:c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8" t="str">
        <x:v>Средние активные аккаунты</x:v>
      </x:c>
      <x:c r="B13" s="8"/>
      <x:c r="C13" s="64" t="n">
        <x:f>(C8+C12)/2</x:f>
        <x:v>4.955</x:v>
      </x:c>
      <x:c r="D13" s="64" t="n">
        <x:f>(D8+D12)/2</x:f>
        <x:v>8.80635</x:v>
      </x:c>
      <x:c r="E13" s="64" t="n">
        <x:f>(E8+E12)/2</x:f>
        <x:v>12.5421595</x:v>
      </x:c>
      <x:c r="F13" s="64" t="n">
        <x:f>(F8+F12)/2</x:f>
        <x:v>16.165894715</x:v>
      </x:c>
      <x:c r="G13" s="64" t="n">
        <x:f>(G8+G12)/2</x:f>
        <x:v>19.68091787355</x:v>
      </x:c>
      <x:c r="H13" s="64" t="n">
        <x:f>(H8+H12)/2</x:f>
        <x:v>23.0904903373435</x:v>
      </x:c>
      <x:c r="I13" s="64" t="n">
        <x:f>(I8+I12)/2</x:f>
        <x:v>28.397775627223197</x:v>
      </x:c>
      <x:c r="J13" s="64" t="n">
        <x:f>(J8+J12)/2</x:f>
        <x:v>35.5458423584065</x:v>
      </x:c>
      <x:c r="K13" s="64" t="n">
        <x:f>(K8+K12)/2</x:f>
        <x:v>42.479467087654314</x:v>
      </x:c>
      <x:c r="L13" s="64" t="n">
        <x:f>(L8+L12)/2</x:f>
        <x:v>49.20508307502469</x:v>
      </x:c>
      <x:c r="M13" s="64" t="n">
        <x:f>(M8+M12)/2</x:f>
        <x:v>55.72893058277394</x:v>
      </x:c>
      <x:c r="N13" s="64" t="n">
        <x:f>(N8+N12)/2</x:f>
        <x:v>62.05706266529073</x:v>
      </x:c>
      <x:c r="O13" s="64" t="n">
        <x:f>(O8+O12)/2</x:f>
        <x:v>72.69535078533201</x:v>
      </x:c>
      <x:c r="P13" s="64" t="n">
        <x:f>(P8+P12)/2</x:f>
        <x:v>87.51449026177205</x:v>
      </x:c>
      <x:c r="Q13" s="64" t="n">
        <x:f>(Q8+Q12)/2</x:f>
        <x:v>101.8890555539189</x:v>
      </x:c>
      <x:c r="R13" s="64" t="n">
        <x:f>(R8+R12)/2</x:f>
        <x:v>115.83238388730132</x:v>
      </x:c>
      <x:c r="S13" s="64" t="n">
        <x:f>(S8+S12)/2</x:f>
        <x:v>129.35741237068228</x:v>
      </x:c>
      <x:c r="T13" s="64" t="n">
        <x:f>(T8+T12)/2</x:f>
        <x:v>142.4766899995618</x:v>
      </x:c>
      <x:c r="U13" s="64" t="n">
        <x:f>(U8+U12)/2</x:f>
        <x:v>155.20238929957497</x:v>
      </x:c>
      <x:c r="V13" s="64" t="n">
        <x:f>(V8+V12)/2</x:f>
        <x:v>167.54631762058773</x:v>
      </x:c>
      <x:c r="W13" s="64" t="n">
        <x:f>(W8+W12)/2</x:f>
        <x:v>179.5199280919701</x:v>
      </x:c>
      <x:c r="X13" s="64" t="n">
        <x:f>(X8+X12)/2</x:f>
        <x:v>191.134330249211</x:v>
      </x:c>
      <x:c r="Y13" s="64" t="n">
        <x:f>(Y8+Y12)/2</x:f>
        <x:v>202.40030034173466</x:v>
      </x:c>
      <x:c r="Z13" s="64" t="n">
        <x:f>(Z8+Z12)/2</x:f>
        <x:v>213.3282913314826</x:v>
      </x:c>
      <x:c r="AA13" s="64" t="n">
        <x:f>(AA8+AA12)/2</x:f>
        <x:v>234.92844259153813</x:v>
      </x:c>
      <x:c r="AB13" s="64" t="n">
        <x:f>(AB8+AB12)/2</x:f>
        <x:v>266.880589313792</x:v>
      </x:c>
      <x:c r="AC13" s="64" t="n">
        <x:f>(AC8+AC12)/2</x:f>
        <x:v>297.8741716343782</x:v>
      </x:c>
      <x:c r="AD13" s="64" t="n">
        <x:f>(AD8+AD12)/2</x:f>
        <x:v>327.93794648534686</x:v>
      </x:c>
      <x:c r="AE13" s="64" t="n">
        <x:f>(AE8+AE12)/2</x:f>
        <x:v>357.0998080907865</x:v>
      </x:c>
      <x:c r="AF13" s="64" t="n">
        <x:f>(AF8+AF12)/2</x:f>
        <x:v>385.38681384806284</x:v>
      </x:c>
      <x:c r="AG13" s="64" t="n">
        <x:f>(AG8+AG12)/2</x:f>
        <x:v>412.82520943262097</x:v>
      </x:c>
      <x:c r="AH13" s="64" t="n">
        <x:f>(AH8+AH12)/2</x:f>
        <x:v>439.44045314964234</x:v>
      </x:c>
      <x:c r="AI13" s="64" t="n">
        <x:f>(AI8+AI12)/2</x:f>
        <x:v>465.2572395551531</x:v>
      </x:c>
      <x:c r="AJ13" s="64" t="n">
        <x:f>(AJ8+AJ12)/2</x:f>
        <x:v>490.2995223684984</x:v>
      </x:c>
      <x:c r="AK13" s="64" t="n">
        <x:f>(AK8+AK12)/2</x:f>
        <x:v>514.5905366974434</x:v>
      </x:c>
      <x:c r="AL13" s="64" t="n">
        <x:f>(AL8+AL12)/2</x:f>
        <x:v>538.1528205965201</x:v>
      </x:c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 ht="23" customHeight="1">
      <x:c r="A15" s="61" t="str">
        <x:v>Выручка</x:v>
      </x:c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  <x:c r="AA15" s="61"/>
      <x:c r="AB15" s="61"/>
      <x:c r="AC15" s="61"/>
      <x:c r="AD15" s="61"/>
      <x:c r="AE15" s="61"/>
      <x:c r="AF15" s="61"/>
      <x:c r="AG15" s="61"/>
      <x:c r="AH15" s="61"/>
      <x:c r="AI15" s="61"/>
      <x:c r="AJ15" s="61"/>
      <x:c r="AK15" s="61"/>
      <x:c r="AL15" s="61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 t="str">
        <x:v>ARPA, MDL/мес.</x:v>
      </x:c>
      <x:c r="B16" s="7"/>
      <x:c r="C16" s="31" t="n">
        <x:f>IF(C$4&lt;=12,'Assumptions'!$B$48,IF(C$4&lt;=24,'Assumptions'!$B$49,'Assumptions'!$B$50))</x:f>
        <x:v>550</x:v>
      </x:c>
      <x:c r="D16" s="31" t="n">
        <x:f>IF(D$4&lt;=12,'Assumptions'!$B$48,IF(D$4&lt;=24,'Assumptions'!$B$49,'Assumptions'!$B$50))</x:f>
        <x:v>550</x:v>
      </x:c>
      <x:c r="E16" s="31" t="n">
        <x:f>IF(E$4&lt;=12,'Assumptions'!$B$48,IF(E$4&lt;=24,'Assumptions'!$B$49,'Assumptions'!$B$50))</x:f>
        <x:v>550</x:v>
      </x:c>
      <x:c r="F16" s="31" t="n">
        <x:f>IF(F$4&lt;=12,'Assumptions'!$B$48,IF(F$4&lt;=24,'Assumptions'!$B$49,'Assumptions'!$B$50))</x:f>
        <x:v>550</x:v>
      </x:c>
      <x:c r="G16" s="31" t="n">
        <x:f>IF(G$4&lt;=12,'Assumptions'!$B$48,IF(G$4&lt;=24,'Assumptions'!$B$49,'Assumptions'!$B$50))</x:f>
        <x:v>550</x:v>
      </x:c>
      <x:c r="H16" s="31" t="n">
        <x:f>IF(H$4&lt;=12,'Assumptions'!$B$48,IF(H$4&lt;=24,'Assumptions'!$B$49,'Assumptions'!$B$50))</x:f>
        <x:v>550</x:v>
      </x:c>
      <x:c r="I16" s="31" t="n">
        <x:f>IF(I$4&lt;=12,'Assumptions'!$B$48,IF(I$4&lt;=24,'Assumptions'!$B$49,'Assumptions'!$B$50))</x:f>
        <x:v>550</x:v>
      </x:c>
      <x:c r="J16" s="31" t="n">
        <x:f>IF(J$4&lt;=12,'Assumptions'!$B$48,IF(J$4&lt;=24,'Assumptions'!$B$49,'Assumptions'!$B$50))</x:f>
        <x:v>550</x:v>
      </x:c>
      <x:c r="K16" s="31" t="n">
        <x:f>IF(K$4&lt;=12,'Assumptions'!$B$48,IF(K$4&lt;=24,'Assumptions'!$B$49,'Assumptions'!$B$50))</x:f>
        <x:v>550</x:v>
      </x:c>
      <x:c r="L16" s="31" t="n">
        <x:f>IF(L$4&lt;=12,'Assumptions'!$B$48,IF(L$4&lt;=24,'Assumptions'!$B$49,'Assumptions'!$B$50))</x:f>
        <x:v>550</x:v>
      </x:c>
      <x:c r="M16" s="31" t="n">
        <x:f>IF(M$4&lt;=12,'Assumptions'!$B$48,IF(M$4&lt;=24,'Assumptions'!$B$49,'Assumptions'!$B$50))</x:f>
        <x:v>550</x:v>
      </x:c>
      <x:c r="N16" s="31" t="n">
        <x:f>IF(N$4&lt;=12,'Assumptions'!$B$48,IF(N$4&lt;=24,'Assumptions'!$B$49,'Assumptions'!$B$50))</x:f>
        <x:v>550</x:v>
      </x:c>
      <x:c r="O16" s="31" t="n">
        <x:f>IF(O$4&lt;=12,'Assumptions'!$B$48,IF(O$4&lt;=24,'Assumptions'!$B$49,'Assumptions'!$B$50))</x:f>
        <x:v>650</x:v>
      </x:c>
      <x:c r="P16" s="31" t="n">
        <x:f>IF(P$4&lt;=12,'Assumptions'!$B$48,IF(P$4&lt;=24,'Assumptions'!$B$49,'Assumptions'!$B$50))</x:f>
        <x:v>650</x:v>
      </x:c>
      <x:c r="Q16" s="31" t="n">
        <x:f>IF(Q$4&lt;=12,'Assumptions'!$B$48,IF(Q$4&lt;=24,'Assumptions'!$B$49,'Assumptions'!$B$50))</x:f>
        <x:v>650</x:v>
      </x:c>
      <x:c r="R16" s="31" t="n">
        <x:f>IF(R$4&lt;=12,'Assumptions'!$B$48,IF(R$4&lt;=24,'Assumptions'!$B$49,'Assumptions'!$B$50))</x:f>
        <x:v>650</x:v>
      </x:c>
      <x:c r="S16" s="31" t="n">
        <x:f>IF(S$4&lt;=12,'Assumptions'!$B$48,IF(S$4&lt;=24,'Assumptions'!$B$49,'Assumptions'!$B$50))</x:f>
        <x:v>650</x:v>
      </x:c>
      <x:c r="T16" s="31" t="n">
        <x:f>IF(T$4&lt;=12,'Assumptions'!$B$48,IF(T$4&lt;=24,'Assumptions'!$B$49,'Assumptions'!$B$50))</x:f>
        <x:v>650</x:v>
      </x:c>
      <x:c r="U16" s="31" t="n">
        <x:f>IF(U$4&lt;=12,'Assumptions'!$B$48,IF(U$4&lt;=24,'Assumptions'!$B$49,'Assumptions'!$B$50))</x:f>
        <x:v>650</x:v>
      </x:c>
      <x:c r="V16" s="31" t="n">
        <x:f>IF(V$4&lt;=12,'Assumptions'!$B$48,IF(V$4&lt;=24,'Assumptions'!$B$49,'Assumptions'!$B$50))</x:f>
        <x:v>650</x:v>
      </x:c>
      <x:c r="W16" s="31" t="n">
        <x:f>IF(W$4&lt;=12,'Assumptions'!$B$48,IF(W$4&lt;=24,'Assumptions'!$B$49,'Assumptions'!$B$50))</x:f>
        <x:v>650</x:v>
      </x:c>
      <x:c r="X16" s="31" t="n">
        <x:f>IF(X$4&lt;=12,'Assumptions'!$B$48,IF(X$4&lt;=24,'Assumptions'!$B$49,'Assumptions'!$B$50))</x:f>
        <x:v>650</x:v>
      </x:c>
      <x:c r="Y16" s="31" t="n">
        <x:f>IF(Y$4&lt;=12,'Assumptions'!$B$48,IF(Y$4&lt;=24,'Assumptions'!$B$49,'Assumptions'!$B$50))</x:f>
        <x:v>650</x:v>
      </x:c>
      <x:c r="Z16" s="31" t="n">
        <x:f>IF(Z$4&lt;=12,'Assumptions'!$B$48,IF(Z$4&lt;=24,'Assumptions'!$B$49,'Assumptions'!$B$50))</x:f>
        <x:v>650</x:v>
      </x:c>
      <x:c r="AA16" s="31" t="n">
        <x:f>IF(AA$4&lt;=12,'Assumptions'!$B$48,IF(AA$4&lt;=24,'Assumptions'!$B$49,'Assumptions'!$B$50))</x:f>
        <x:v>750</x:v>
      </x:c>
      <x:c r="AB16" s="31" t="n">
        <x:f>IF(AB$4&lt;=12,'Assumptions'!$B$48,IF(AB$4&lt;=24,'Assumptions'!$B$49,'Assumptions'!$B$50))</x:f>
        <x:v>750</x:v>
      </x:c>
      <x:c r="AC16" s="31" t="n">
        <x:f>IF(AC$4&lt;=12,'Assumptions'!$B$48,IF(AC$4&lt;=24,'Assumptions'!$B$49,'Assumptions'!$B$50))</x:f>
        <x:v>750</x:v>
      </x:c>
      <x:c r="AD16" s="31" t="n">
        <x:f>IF(AD$4&lt;=12,'Assumptions'!$B$48,IF(AD$4&lt;=24,'Assumptions'!$B$49,'Assumptions'!$B$50))</x:f>
        <x:v>750</x:v>
      </x:c>
      <x:c r="AE16" s="31" t="n">
        <x:f>IF(AE$4&lt;=12,'Assumptions'!$B$48,IF(AE$4&lt;=24,'Assumptions'!$B$49,'Assumptions'!$B$50))</x:f>
        <x:v>750</x:v>
      </x:c>
      <x:c r="AF16" s="31" t="n">
        <x:f>IF(AF$4&lt;=12,'Assumptions'!$B$48,IF(AF$4&lt;=24,'Assumptions'!$B$49,'Assumptions'!$B$50))</x:f>
        <x:v>750</x:v>
      </x:c>
      <x:c r="AG16" s="31" t="n">
        <x:f>IF(AG$4&lt;=12,'Assumptions'!$B$48,IF(AG$4&lt;=24,'Assumptions'!$B$49,'Assumptions'!$B$50))</x:f>
        <x:v>750</x:v>
      </x:c>
      <x:c r="AH16" s="31" t="n">
        <x:f>IF(AH$4&lt;=12,'Assumptions'!$B$48,IF(AH$4&lt;=24,'Assumptions'!$B$49,'Assumptions'!$B$50))</x:f>
        <x:v>750</x:v>
      </x:c>
      <x:c r="AI16" s="31" t="n">
        <x:f>IF(AI$4&lt;=12,'Assumptions'!$B$48,IF(AI$4&lt;=24,'Assumptions'!$B$49,'Assumptions'!$B$50))</x:f>
        <x:v>750</x:v>
      </x:c>
      <x:c r="AJ16" s="31" t="n">
        <x:f>IF(AJ$4&lt;=12,'Assumptions'!$B$48,IF(AJ$4&lt;=24,'Assumptions'!$B$49,'Assumptions'!$B$50))</x:f>
        <x:v>750</x:v>
      </x:c>
      <x:c r="AK16" s="31" t="n">
        <x:f>IF(AK$4&lt;=12,'Assumptions'!$B$48,IF(AK$4&lt;=24,'Assumptions'!$B$49,'Assumptions'!$B$50))</x:f>
        <x:v>750</x:v>
      </x:c>
      <x:c r="AL16" s="31" t="n">
        <x:f>IF(AL$4&lt;=12,'Assumptions'!$B$48,IF(AL$4&lt;=24,'Assumptions'!$B$49,'Assumptions'!$B$50))</x:f>
        <x:v>750</x:v>
      </x:c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 t="str">
        <x:v>MRR, MDL</x:v>
      </x:c>
      <x:c r="B17" s="7"/>
      <x:c r="C17" s="34" t="n">
        <x:f>C13*C16</x:f>
        <x:v>2725.25</x:v>
      </x:c>
      <x:c r="D17" s="34" t="n">
        <x:f>D13*D16</x:f>
        <x:v>4843.4925</x:v>
      </x:c>
      <x:c r="E17" s="34" t="n">
        <x:f>E13*E16</x:f>
        <x:v>6898.187725</x:v>
      </x:c>
      <x:c r="F17" s="34" t="n">
        <x:f>F13*F16</x:f>
        <x:v>8891.24209325</x:v>
      </x:c>
      <x:c r="G17" s="34" t="n">
        <x:f>G13*G16</x:f>
        <x:v>10824.5048304525</x:v>
      </x:c>
      <x:c r="H17" s="34" t="n">
        <x:f>H13*H16</x:f>
        <x:v>12699.769685538924</x:v>
      </x:c>
      <x:c r="I17" s="34" t="n">
        <x:f>I13*I16</x:f>
        <x:v>15618.776594972758</x:v>
      </x:c>
      <x:c r="J17" s="34" t="n">
        <x:f>J13*J16</x:f>
        <x:v>19550.213297123577</x:v>
      </x:c>
      <x:c r="K17" s="34" t="n">
        <x:f>K13*K16</x:f>
        <x:v>23363.70689820987</x:v>
      </x:c>
      <x:c r="L17" s="34" t="n">
        <x:f>L13*L16</x:f>
        <x:v>27062.79569126358</x:v>
      </x:c>
      <x:c r="M17" s="34" t="n">
        <x:f>M13*M16</x:f>
        <x:v>30650.911820525667</x:v>
      </x:c>
      <x:c r="N17" s="34" t="n">
        <x:f>N13*N16</x:f>
        <x:v>34131.3844659099</x:v>
      </x:c>
      <x:c r="O17" s="34" t="n">
        <x:f>O13*O16</x:f>
        <x:v>47251.978010465806</x:v>
      </x:c>
      <x:c r="P17" s="34" t="n">
        <x:f>P13*P16</x:f>
        <x:v>56884.418670151834</x:v>
      </x:c>
      <x:c r="Q17" s="34" t="n">
        <x:f>Q13*Q16</x:f>
        <x:v>66227.88611004729</x:v>
      </x:c>
      <x:c r="R17" s="34" t="n">
        <x:f>R13*R16</x:f>
        <x:v>75291.04952674586</x:v>
      </x:c>
      <x:c r="S17" s="34" t="n">
        <x:f>S13*S16</x:f>
        <x:v>84082.31804094349</x:v>
      </x:c>
      <x:c r="T17" s="34" t="n">
        <x:f>T13*T16</x:f>
        <x:v>92609.84849971518</x:v>
      </x:c>
      <x:c r="U17" s="34" t="n">
        <x:f>U13*U16</x:f>
        <x:v>100881.55304472374</x:v>
      </x:c>
      <x:c r="V17" s="34" t="n">
        <x:f>V13*V16</x:f>
        <x:v>108905.10645338202</x:v>
      </x:c>
      <x:c r="W17" s="34" t="n">
        <x:f>W13*W16</x:f>
        <x:v>116687.95325978055</x:v>
      </x:c>
      <x:c r="X17" s="34" t="n">
        <x:f>X13*X16</x:f>
        <x:v>124237.31466198714</x:v>
      </x:c>
      <x:c r="Y17" s="34" t="n">
        <x:f>Y13*Y16</x:f>
        <x:v>131560.19522212754</x:v>
      </x:c>
      <x:c r="Z17" s="34" t="n">
        <x:f>Z13*Z16</x:f>
        <x:v>138663.3893654637</x:v>
      </x:c>
      <x:c r="AA17" s="34" t="n">
        <x:f>AA13*AA16</x:f>
        <x:v>176196.3319436536</x:v>
      </x:c>
      <x:c r="AB17" s="34" t="n">
        <x:f>AB13*AB16</x:f>
        <x:v>200160.441985344</x:v>
      </x:c>
      <x:c r="AC17" s="34" t="n">
        <x:f>AC13*AC16</x:f>
        <x:v>223405.62872578364</x:v>
      </x:c>
      <x:c r="AD17" s="34" t="n">
        <x:f>AD13*AD16</x:f>
        <x:v>245953.45986401013</x:v>
      </x:c>
      <x:c r="AE17" s="34" t="n">
        <x:f>AE13*AE16</x:f>
        <x:v>267824.8560680899</x:v>
      </x:c>
      <x:c r="AF17" s="34" t="n">
        <x:f>AF13*AF16</x:f>
        <x:v>289040.1103860471</x:v>
      </x:c>
      <x:c r="AG17" s="34" t="n">
        <x:f>AG13*AG16</x:f>
        <x:v>309618.9070744657</x:v>
      </x:c>
      <x:c r="AH17" s="34" t="n">
        <x:f>AH13*AH16</x:f>
        <x:v>329580.33986223175</x:v>
      </x:c>
      <x:c r="AI17" s="34" t="n">
        <x:f>AI13*AI16</x:f>
        <x:v>348942.9296663648</x:v>
      </x:c>
      <x:c r="AJ17" s="34" t="n">
        <x:f>AJ13*AJ16</x:f>
        <x:v>367724.6417763738</x:v>
      </x:c>
      <x:c r="AK17" s="34" t="n">
        <x:f>AK13*AK16</x:f>
        <x:v>385942.90252308256</x:v>
      </x:c>
      <x:c r="AL17" s="34" t="n">
        <x:f>AL13*AL16</x:f>
        <x:v>403614.61544739007</x:v>
      </x:c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7" t="str">
        <x:v>Выручка, MDL</x:v>
      </x:c>
      <x:c r="B18" s="7"/>
      <x:c r="C18" s="34" t="n">
        <x:f>C17</x:f>
        <x:v>2725.25</x:v>
      </x:c>
      <x:c r="D18" s="34" t="n">
        <x:f>D17</x:f>
        <x:v>4843.4925</x:v>
      </x:c>
      <x:c r="E18" s="34" t="n">
        <x:f>E17</x:f>
        <x:v>6898.187725</x:v>
      </x:c>
      <x:c r="F18" s="34" t="n">
        <x:f>F17</x:f>
        <x:v>8891.24209325</x:v>
      </x:c>
      <x:c r="G18" s="34" t="n">
        <x:f>G17</x:f>
        <x:v>10824.5048304525</x:v>
      </x:c>
      <x:c r="H18" s="34" t="n">
        <x:f>H17</x:f>
        <x:v>12699.769685538924</x:v>
      </x:c>
      <x:c r="I18" s="34" t="n">
        <x:f>I17</x:f>
        <x:v>15618.776594972758</x:v>
      </x:c>
      <x:c r="J18" s="34" t="n">
        <x:f>J17</x:f>
        <x:v>19550.213297123577</x:v>
      </x:c>
      <x:c r="K18" s="34" t="n">
        <x:f>K17</x:f>
        <x:v>23363.70689820987</x:v>
      </x:c>
      <x:c r="L18" s="34" t="n">
        <x:f>L17</x:f>
        <x:v>27062.79569126358</x:v>
      </x:c>
      <x:c r="M18" s="34" t="n">
        <x:f>M17</x:f>
        <x:v>30650.911820525667</x:v>
      </x:c>
      <x:c r="N18" s="34" t="n">
        <x:f>N17</x:f>
        <x:v>34131.3844659099</x:v>
      </x:c>
      <x:c r="O18" s="34" t="n">
        <x:f>O17</x:f>
        <x:v>47251.978010465806</x:v>
      </x:c>
      <x:c r="P18" s="34" t="n">
        <x:f>P17</x:f>
        <x:v>56884.418670151834</x:v>
      </x:c>
      <x:c r="Q18" s="34" t="n">
        <x:f>Q17</x:f>
        <x:v>66227.88611004729</x:v>
      </x:c>
      <x:c r="R18" s="34" t="n">
        <x:f>R17</x:f>
        <x:v>75291.04952674586</x:v>
      </x:c>
      <x:c r="S18" s="34" t="n">
        <x:f>S17</x:f>
        <x:v>84082.31804094349</x:v>
      </x:c>
      <x:c r="T18" s="34" t="n">
        <x:f>T17</x:f>
        <x:v>92609.84849971518</x:v>
      </x:c>
      <x:c r="U18" s="34" t="n">
        <x:f>U17</x:f>
        <x:v>100881.55304472374</x:v>
      </x:c>
      <x:c r="V18" s="34" t="n">
        <x:f>V17</x:f>
        <x:v>108905.10645338202</x:v>
      </x:c>
      <x:c r="W18" s="34" t="n">
        <x:f>W17</x:f>
        <x:v>116687.95325978055</x:v>
      </x:c>
      <x:c r="X18" s="34" t="n">
        <x:f>X17</x:f>
        <x:v>124237.31466198714</x:v>
      </x:c>
      <x:c r="Y18" s="34" t="n">
        <x:f>Y17</x:f>
        <x:v>131560.19522212754</x:v>
      </x:c>
      <x:c r="Z18" s="34" t="n">
        <x:f>Z17</x:f>
        <x:v>138663.3893654637</x:v>
      </x:c>
      <x:c r="AA18" s="34" t="n">
        <x:f>AA17</x:f>
        <x:v>176196.3319436536</x:v>
      </x:c>
      <x:c r="AB18" s="34" t="n">
        <x:f>AB17</x:f>
        <x:v>200160.441985344</x:v>
      </x:c>
      <x:c r="AC18" s="34" t="n">
        <x:f>AC17</x:f>
        <x:v>223405.62872578364</x:v>
      </x:c>
      <x:c r="AD18" s="34" t="n">
        <x:f>AD17</x:f>
        <x:v>245953.45986401013</x:v>
      </x:c>
      <x:c r="AE18" s="34" t="n">
        <x:f>AE17</x:f>
        <x:v>267824.8560680899</x:v>
      </x:c>
      <x:c r="AF18" s="34" t="n">
        <x:f>AF17</x:f>
        <x:v>289040.1103860471</x:v>
      </x:c>
      <x:c r="AG18" s="34" t="n">
        <x:f>AG17</x:f>
        <x:v>309618.9070744657</x:v>
      </x:c>
      <x:c r="AH18" s="34" t="n">
        <x:f>AH17</x:f>
        <x:v>329580.33986223175</x:v>
      </x:c>
      <x:c r="AI18" s="34" t="n">
        <x:f>AI17</x:f>
        <x:v>348942.9296663648</x:v>
      </x:c>
      <x:c r="AJ18" s="34" t="n">
        <x:f>AJ17</x:f>
        <x:v>367724.6417763738</x:v>
      </x:c>
      <x:c r="AK18" s="34" t="n">
        <x:f>AK17</x:f>
        <x:v>385942.90252308256</x:v>
      </x:c>
      <x:c r="AL18" s="34" t="n">
        <x:f>AL17</x:f>
        <x:v>403614.61544739007</x:v>
      </x:c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7" t="str">
        <x:v>ARR run-rate, MDL</x:v>
      </x:c>
      <x:c r="B19" s="7"/>
      <x:c r="C19" s="34" t="n">
        <x:f>C12*C16*12</x:f>
        <x:v>45606</x:v>
      </x:c>
      <x:c r="D19" s="34" t="n">
        <x:f>D12*D16*12</x:f>
        <x:v>70637.81999999999</x:v>
      </x:c>
      <x:c r="E19" s="34" t="n">
        <x:f>E12*E16*12</x:f>
        <x:v>94918.68540000002</x:v>
      </x:c>
      <x:c r="F19" s="34" t="n">
        <x:f>F12*F16*12</x:f>
        <x:v>118471.12483800002</x:v>
      </x:c>
      <x:c r="G19" s="34" t="n">
        <x:f>G12*G16*12</x:f>
        <x:v>141316.99109286</x:v>
      </x:c>
      <x:c r="H19" s="34" t="n">
        <x:f>H12*H16*12</x:f>
        <x:v>163477.48136007422</x:v>
      </x:c>
      <x:c r="I19" s="34" t="n">
        <x:f>I12*I16*12</x:f>
        <x:v>211373.156919272</x:v>
      </x:c>
      <x:c r="J19" s="34" t="n">
        <x:f>J12*J16*12</x:f>
        <x:v>257831.96221169387</x:v>
      </x:c>
      <x:c r="K19" s="34" t="n">
        <x:f>K12*K16*12</x:f>
        <x:v>302897.00334534305</x:v>
      </x:c>
      <x:c r="L19" s="34" t="n">
        <x:f>L12*L16*12</x:f>
        <x:v>346610.09324498277</x:v>
      </x:c>
      <x:c r="M19" s="34" t="n">
        <x:f>M12*M16*12</x:f>
        <x:v>389011.7904476333</x:v>
      </x:c>
      <x:c r="N19" s="34" t="n">
        <x:f>N12*N16*12</x:f>
        <x:v>430141.4367342043</x:v>
      </x:c>
      <x:c r="O19" s="34" t="n">
        <x:f>O12*O16*12</x:f>
        <x:v>625698.5015653016</x:v>
      </x:c>
      <x:c r="P19" s="34" t="n">
        <x:f>P12*P16*12</x:f>
        <x:v>739527.5465183425</x:v>
      </x:c>
      <x:c r="Q19" s="34" t="n">
        <x:f>Q12*Q16*12</x:f>
        <x:v>849941.7201227923</x:v>
      </x:c>
      <x:c r="R19" s="34" t="n">
        <x:f>R12*R16*12</x:f>
        <x:v>957043.4685191084</x:v>
      </x:c>
      <x:c r="S19" s="34" t="n">
        <x:f>S12*S16*12</x:f>
        <x:v>1060932.1644635352</x:v>
      </x:c>
      <x:c r="T19" s="34" t="n">
        <x:f>T12*T16*12</x:f>
        <x:v>1161704.1995296292</x:v>
      </x:c>
      <x:c r="U19" s="34" t="n">
        <x:f>U12*U16*12</x:f>
        <x:v>1259453.0735437404</x:v>
      </x:c>
      <x:c r="V19" s="34" t="n">
        <x:f>V12*V16*12</x:f>
        <x:v>1354269.481337428</x:v>
      </x:c>
      <x:c r="W19" s="34" t="n">
        <x:f>W12*W16*12</x:f>
        <x:v>1446241.3968973053</x:v>
      </x:c>
      <x:c r="X19" s="34" t="n">
        <x:f>X12*X16*12</x:f>
        <x:v>1535454.1549903862</x:v>
      </x:c>
      <x:c r="Y19" s="34" t="n">
        <x:f>Y12*Y16*12</x:f>
        <x:v>1621990.5303406743</x:v>
      </x:c>
      <x:c r="Z19" s="34" t="n">
        <x:f>Z12*Z16*12</x:f>
        <x:v>1705930.8144304543</x:v>
      </x:c>
      <x:c r="AA19" s="34" t="n">
        <x:f>AA12*AA16*12</x:f>
        <x:v>2260330.25768947</x:v>
      </x:c>
      <x:c r="AB19" s="34" t="n">
        <x:f>AB12*AB16*12</x:f>
        <x:v>2543520.349958786</x:v>
      </x:c>
      <x:c r="AC19" s="34" t="n">
        <x:f>AC12*AC16*12</x:f>
        <x:v>2818214.739460022</x:v>
      </x:c>
      <x:c r="AD19" s="34" t="n">
        <x:f>AD12*AD16*12</x:f>
        <x:v>3084668.297276221</x:v>
      </x:c>
      <x:c r="AE19" s="34" t="n">
        <x:f>AE12*AE16*12</x:f>
        <x:v>3343128.248357935</x:v>
      </x:c>
      <x:c r="AF19" s="34" t="n">
        <x:f>AF12*AF16*12</x:f>
        <x:v>3593834.4009071966</x:v>
      </x:c>
      <x:c r="AG19" s="34" t="n">
        <x:f>AG12*AG16*12</x:f>
        <x:v>3837019.3688799804</x:v>
      </x:c>
      <x:c r="AH19" s="34" t="n">
        <x:f>AH12*AH16*12</x:f>
        <x:v>4072908.7878135815</x:v>
      </x:c>
      <x:c r="AI19" s="34" t="n">
        <x:f>AI12*AI16*12</x:f>
        <x:v>4301721.524179174</x:v>
      </x:c>
      <x:c r="AJ19" s="34" t="n">
        <x:f>AJ12*AJ16*12</x:f>
        <x:v>4523669.878453798</x:v>
      </x:c>
      <x:c r="AK19" s="34" t="n">
        <x:f>AK12*AK16*12</x:f>
        <x:v>4738959.782100184</x:v>
      </x:c>
      <x:c r="AL19" s="34" t="n">
        <x:f>AL12*AL16*12</x:f>
        <x:v>4947790.988637179</x:v>
      </x:c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 ht="23" customHeight="1">
      <x:c r="A21" s="61" t="str">
        <x:v>Валовая прибыль</x:v>
      </x:c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  <x:c r="AA21" s="61"/>
      <x:c r="AB21" s="61"/>
      <x:c r="AC21" s="61"/>
      <x:c r="AD21" s="61"/>
      <x:c r="AE21" s="61"/>
      <x:c r="AF21" s="61"/>
      <x:c r="AG21" s="61"/>
      <x:c r="AH21" s="61"/>
      <x:c r="AI21" s="61"/>
      <x:c r="AJ21" s="61"/>
      <x:c r="AK21" s="61"/>
      <x:c r="AL21" s="61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 t="str">
        <x:v>COGS, %</x:v>
      </x:c>
      <x:c r="B22" s="7"/>
      <x:c r="C22" s="30" t="n">
        <x:f>IF(C$4&lt;=12,'Assumptions'!$B$51,IF(C$4&lt;=24,'Assumptions'!$B$52,'Assumptions'!$B$53))</x:f>
        <x:v>0.17</x:v>
      </x:c>
      <x:c r="D22" s="30" t="n">
        <x:f>IF(D$4&lt;=12,'Assumptions'!$B$51,IF(D$4&lt;=24,'Assumptions'!$B$52,'Assumptions'!$B$53))</x:f>
        <x:v>0.17</x:v>
      </x:c>
      <x:c r="E22" s="30" t="n">
        <x:f>IF(E$4&lt;=12,'Assumptions'!$B$51,IF(E$4&lt;=24,'Assumptions'!$B$52,'Assumptions'!$B$53))</x:f>
        <x:v>0.17</x:v>
      </x:c>
      <x:c r="F22" s="30" t="n">
        <x:f>IF(F$4&lt;=12,'Assumptions'!$B$51,IF(F$4&lt;=24,'Assumptions'!$B$52,'Assumptions'!$B$53))</x:f>
        <x:v>0.17</x:v>
      </x:c>
      <x:c r="G22" s="30" t="n">
        <x:f>IF(G$4&lt;=12,'Assumptions'!$B$51,IF(G$4&lt;=24,'Assumptions'!$B$52,'Assumptions'!$B$53))</x:f>
        <x:v>0.17</x:v>
      </x:c>
      <x:c r="H22" s="30" t="n">
        <x:f>IF(H$4&lt;=12,'Assumptions'!$B$51,IF(H$4&lt;=24,'Assumptions'!$B$52,'Assumptions'!$B$53))</x:f>
        <x:v>0.17</x:v>
      </x:c>
      <x:c r="I22" s="30" t="n">
        <x:f>IF(I$4&lt;=12,'Assumptions'!$B$51,IF(I$4&lt;=24,'Assumptions'!$B$52,'Assumptions'!$B$53))</x:f>
        <x:v>0.17</x:v>
      </x:c>
      <x:c r="J22" s="30" t="n">
        <x:f>IF(J$4&lt;=12,'Assumptions'!$B$51,IF(J$4&lt;=24,'Assumptions'!$B$52,'Assumptions'!$B$53))</x:f>
        <x:v>0.17</x:v>
      </x:c>
      <x:c r="K22" s="30" t="n">
        <x:f>IF(K$4&lt;=12,'Assumptions'!$B$51,IF(K$4&lt;=24,'Assumptions'!$B$52,'Assumptions'!$B$53))</x:f>
        <x:v>0.17</x:v>
      </x:c>
      <x:c r="L22" s="30" t="n">
        <x:f>IF(L$4&lt;=12,'Assumptions'!$B$51,IF(L$4&lt;=24,'Assumptions'!$B$52,'Assumptions'!$B$53))</x:f>
        <x:v>0.17</x:v>
      </x:c>
      <x:c r="M22" s="30" t="n">
        <x:f>IF(M$4&lt;=12,'Assumptions'!$B$51,IF(M$4&lt;=24,'Assumptions'!$B$52,'Assumptions'!$B$53))</x:f>
        <x:v>0.17</x:v>
      </x:c>
      <x:c r="N22" s="30" t="n">
        <x:f>IF(N$4&lt;=12,'Assumptions'!$B$51,IF(N$4&lt;=24,'Assumptions'!$B$52,'Assumptions'!$B$53))</x:f>
        <x:v>0.17</x:v>
      </x:c>
      <x:c r="O22" s="30" t="n">
        <x:f>IF(O$4&lt;=12,'Assumptions'!$B$51,IF(O$4&lt;=24,'Assumptions'!$B$52,'Assumptions'!$B$53))</x:f>
        <x:v>0.15</x:v>
      </x:c>
      <x:c r="P22" s="30" t="n">
        <x:f>IF(P$4&lt;=12,'Assumptions'!$B$51,IF(P$4&lt;=24,'Assumptions'!$B$52,'Assumptions'!$B$53))</x:f>
        <x:v>0.15</x:v>
      </x:c>
      <x:c r="Q22" s="30" t="n">
        <x:f>IF(Q$4&lt;=12,'Assumptions'!$B$51,IF(Q$4&lt;=24,'Assumptions'!$B$52,'Assumptions'!$B$53))</x:f>
        <x:v>0.15</x:v>
      </x:c>
      <x:c r="R22" s="30" t="n">
        <x:f>IF(R$4&lt;=12,'Assumptions'!$B$51,IF(R$4&lt;=24,'Assumptions'!$B$52,'Assumptions'!$B$53))</x:f>
        <x:v>0.15</x:v>
      </x:c>
      <x:c r="S22" s="30" t="n">
        <x:f>IF(S$4&lt;=12,'Assumptions'!$B$51,IF(S$4&lt;=24,'Assumptions'!$B$52,'Assumptions'!$B$53))</x:f>
        <x:v>0.15</x:v>
      </x:c>
      <x:c r="T22" s="30" t="n">
        <x:f>IF(T$4&lt;=12,'Assumptions'!$B$51,IF(T$4&lt;=24,'Assumptions'!$B$52,'Assumptions'!$B$53))</x:f>
        <x:v>0.15</x:v>
      </x:c>
      <x:c r="U22" s="30" t="n">
        <x:f>IF(U$4&lt;=12,'Assumptions'!$B$51,IF(U$4&lt;=24,'Assumptions'!$B$52,'Assumptions'!$B$53))</x:f>
        <x:v>0.15</x:v>
      </x:c>
      <x:c r="V22" s="30" t="n">
        <x:f>IF(V$4&lt;=12,'Assumptions'!$B$51,IF(V$4&lt;=24,'Assumptions'!$B$52,'Assumptions'!$B$53))</x:f>
        <x:v>0.15</x:v>
      </x:c>
      <x:c r="W22" s="30" t="n">
        <x:f>IF(W$4&lt;=12,'Assumptions'!$B$51,IF(W$4&lt;=24,'Assumptions'!$B$52,'Assumptions'!$B$53))</x:f>
        <x:v>0.15</x:v>
      </x:c>
      <x:c r="X22" s="30" t="n">
        <x:f>IF(X$4&lt;=12,'Assumptions'!$B$51,IF(X$4&lt;=24,'Assumptions'!$B$52,'Assumptions'!$B$53))</x:f>
        <x:v>0.15</x:v>
      </x:c>
      <x:c r="Y22" s="30" t="n">
        <x:f>IF(Y$4&lt;=12,'Assumptions'!$B$51,IF(Y$4&lt;=24,'Assumptions'!$B$52,'Assumptions'!$B$53))</x:f>
        <x:v>0.15</x:v>
      </x:c>
      <x:c r="Z22" s="30" t="n">
        <x:f>IF(Z$4&lt;=12,'Assumptions'!$B$51,IF(Z$4&lt;=24,'Assumptions'!$B$52,'Assumptions'!$B$53))</x:f>
        <x:v>0.15</x:v>
      </x:c>
      <x:c r="AA22" s="30" t="n">
        <x:f>IF(AA$4&lt;=12,'Assumptions'!$B$51,IF(AA$4&lt;=24,'Assumptions'!$B$52,'Assumptions'!$B$53))</x:f>
        <x:v>0.14</x:v>
      </x:c>
      <x:c r="AB22" s="30" t="n">
        <x:f>IF(AB$4&lt;=12,'Assumptions'!$B$51,IF(AB$4&lt;=24,'Assumptions'!$B$52,'Assumptions'!$B$53))</x:f>
        <x:v>0.14</x:v>
      </x:c>
      <x:c r="AC22" s="30" t="n">
        <x:f>IF(AC$4&lt;=12,'Assumptions'!$B$51,IF(AC$4&lt;=24,'Assumptions'!$B$52,'Assumptions'!$B$53))</x:f>
        <x:v>0.14</x:v>
      </x:c>
      <x:c r="AD22" s="30" t="n">
        <x:f>IF(AD$4&lt;=12,'Assumptions'!$B$51,IF(AD$4&lt;=24,'Assumptions'!$B$52,'Assumptions'!$B$53))</x:f>
        <x:v>0.14</x:v>
      </x:c>
      <x:c r="AE22" s="30" t="n">
        <x:f>IF(AE$4&lt;=12,'Assumptions'!$B$51,IF(AE$4&lt;=24,'Assumptions'!$B$52,'Assumptions'!$B$53))</x:f>
        <x:v>0.14</x:v>
      </x:c>
      <x:c r="AF22" s="30" t="n">
        <x:f>IF(AF$4&lt;=12,'Assumptions'!$B$51,IF(AF$4&lt;=24,'Assumptions'!$B$52,'Assumptions'!$B$53))</x:f>
        <x:v>0.14</x:v>
      </x:c>
      <x:c r="AG22" s="30" t="n">
        <x:f>IF(AG$4&lt;=12,'Assumptions'!$B$51,IF(AG$4&lt;=24,'Assumptions'!$B$52,'Assumptions'!$B$53))</x:f>
        <x:v>0.14</x:v>
      </x:c>
      <x:c r="AH22" s="30" t="n">
        <x:f>IF(AH$4&lt;=12,'Assumptions'!$B$51,IF(AH$4&lt;=24,'Assumptions'!$B$52,'Assumptions'!$B$53))</x:f>
        <x:v>0.14</x:v>
      </x:c>
      <x:c r="AI22" s="30" t="n">
        <x:f>IF(AI$4&lt;=12,'Assumptions'!$B$51,IF(AI$4&lt;=24,'Assumptions'!$B$52,'Assumptions'!$B$53))</x:f>
        <x:v>0.14</x:v>
      </x:c>
      <x:c r="AJ22" s="30" t="n">
        <x:f>IF(AJ$4&lt;=12,'Assumptions'!$B$51,IF(AJ$4&lt;=24,'Assumptions'!$B$52,'Assumptions'!$B$53))</x:f>
        <x:v>0.14</x:v>
      </x:c>
      <x:c r="AK22" s="30" t="n">
        <x:f>IF(AK$4&lt;=12,'Assumptions'!$B$51,IF(AK$4&lt;=24,'Assumptions'!$B$52,'Assumptions'!$B$53))</x:f>
        <x:v>0.14</x:v>
      </x:c>
      <x:c r="AL22" s="30" t="n">
        <x:f>IF(AL$4&lt;=12,'Assumptions'!$B$51,IF(AL$4&lt;=24,'Assumptions'!$B$52,'Assumptions'!$B$53))</x:f>
        <x:v>0.14</x:v>
      </x:c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 t="str">
        <x:v>COGS, MDL</x:v>
      </x:c>
      <x:c r="B23" s="7"/>
      <x:c r="C23" s="34" t="n">
        <x:f>C18*C22</x:f>
        <x:v>463.2925</x:v>
      </x:c>
      <x:c r="D23" s="34" t="n">
        <x:f>D18*D22</x:f>
        <x:v>823.3937250000001</x:v>
      </x:c>
      <x:c r="E23" s="34" t="n">
        <x:f>E18*E22</x:f>
        <x:v>1172.69191325</x:v>
      </x:c>
      <x:c r="F23" s="34" t="n">
        <x:f>F18*F22</x:f>
        <x:v>1511.5111558525002</x:v>
      </x:c>
      <x:c r="G23" s="34" t="n">
        <x:f>G18*G22</x:f>
        <x:v>1840.1658211769252</x:v>
      </x:c>
      <x:c r="H23" s="34" t="n">
        <x:f>H18*H22</x:f>
        <x:v>2158.9608465416172</x:v>
      </x:c>
      <x:c r="I23" s="34" t="n">
        <x:f>I18*I22</x:f>
        <x:v>2655.192021145369</x:v>
      </x:c>
      <x:c r="J23" s="34" t="n">
        <x:f>J18*J22</x:f>
        <x:v>3323.536260511008</x:v>
      </x:c>
      <x:c r="K23" s="34" t="n">
        <x:f>K18*K22</x:f>
        <x:v>3971.8301726956784</x:v>
      </x:c>
      <x:c r="L23" s="34" t="n">
        <x:f>L18*L22</x:f>
        <x:v>4600.675267514808</x:v>
      </x:c>
      <x:c r="M23" s="34" t="n">
        <x:f>M18*M22</x:f>
        <x:v>5210.655009489364</x:v>
      </x:c>
      <x:c r="N23" s="34" t="n">
        <x:f>N18*N22</x:f>
        <x:v>5802.335359204683</x:v>
      </x:c>
      <x:c r="O23" s="34" t="n">
        <x:f>O18*O22</x:f>
        <x:v>7087.7967015698705</x:v>
      </x:c>
      <x:c r="P23" s="34" t="n">
        <x:f>P18*P22</x:f>
        <x:v>8532.662800522774</x:v>
      </x:c>
      <x:c r="Q23" s="34" t="n">
        <x:f>Q18*Q22</x:f>
        <x:v>9934.182916507092</x:v>
      </x:c>
      <x:c r="R23" s="34" t="n">
        <x:f>R18*R22</x:f>
        <x:v>11293.657429011879</x:v>
      </x:c>
      <x:c r="S23" s="34" t="n">
        <x:f>S18*S22</x:f>
        <x:v>12612.347706141523</x:v>
      </x:c>
      <x:c r="T23" s="34" t="n">
        <x:f>T18*T22</x:f>
        <x:v>13891.477274957277</x:v>
      </x:c>
      <x:c r="U23" s="34" t="n">
        <x:f>U18*U22</x:f>
        <x:v>15132.23295670856</x:v>
      </x:c>
      <x:c r="V23" s="34" t="n">
        <x:f>V18*V22</x:f>
        <x:v>16335.765968007301</x:v>
      </x:c>
      <x:c r="W23" s="34" t="n">
        <x:f>W18*W22</x:f>
        <x:v>17503.192988967083</x:v>
      </x:c>
      <x:c r="X23" s="34" t="n">
        <x:f>X18*X22</x:f>
        <x:v>18635.59719929807</x:v>
      </x:c>
      <x:c r="Y23" s="34" t="n">
        <x:f>Y18*Y22</x:f>
        <x:v>19734.02928331913</x:v>
      </x:c>
      <x:c r="Z23" s="34" t="n">
        <x:f>Z18*Z22</x:f>
        <x:v>20799.508404819553</x:v>
      </x:c>
      <x:c r="AA23" s="34" t="n">
        <x:f>AA18*AA22</x:f>
        <x:v>24667.48647211151</x:v>
      </x:c>
      <x:c r="AB23" s="34" t="n">
        <x:f>AB18*AB22</x:f>
        <x:v>28022.46187794816</x:v>
      </x:c>
      <x:c r="AC23" s="34" t="n">
        <x:f>AC18*AC22</x:f>
        <x:v>31276.78802160971</x:v>
      </x:c>
      <x:c r="AD23" s="34" t="n">
        <x:f>AD18*AD22</x:f>
        <x:v>34433.484380961425</x:v>
      </x:c>
      <x:c r="AE23" s="34" t="n">
        <x:f>AE18*AE22</x:f>
        <x:v>37495.47984953259</x:v>
      </x:c>
      <x:c r="AF23" s="34" t="n">
        <x:f>AF18*AF22</x:f>
        <x:v>40465.6154540466</x:v>
      </x:c>
      <x:c r="AG23" s="34" t="n">
        <x:f>AG18*AG22</x:f>
        <x:v>43346.6469904252</x:v>
      </x:c>
      <x:c r="AH23" s="34" t="n">
        <x:f>AH18*AH22</x:f>
        <x:v>46141.24758071245</x:v>
      </x:c>
      <x:c r="AI23" s="34" t="n">
        <x:f>AI18*AI22</x:f>
        <x:v>48852.01015329108</x:v>
      </x:c>
      <x:c r="AJ23" s="34" t="n">
        <x:f>AJ18*AJ22</x:f>
        <x:v>51481.44984869233</x:v>
      </x:c>
      <x:c r="AK23" s="34" t="n">
        <x:f>AK18*AK22</x:f>
        <x:v>54032.00635323156</x:v>
      </x:c>
      <x:c r="AL23" s="34" t="n">
        <x:f>AL18*AL22</x:f>
        <x:v>56506.046162634615</x:v>
      </x:c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36" t="str">
        <x:v>Валовая прибыль, MDL</x:v>
      </x:c>
      <x:c r="B24" s="36"/>
      <x:c r="C24" s="37" t="n">
        <x:f>C18-C23</x:f>
        <x:v>2261.9575</x:v>
      </x:c>
      <x:c r="D24" s="37" t="n">
        <x:f>D18-D23</x:f>
        <x:v>4020.0987750000004</x:v>
      </x:c>
      <x:c r="E24" s="37" t="n">
        <x:f>E18-E23</x:f>
        <x:v>5725.49581175</x:v>
      </x:c>
      <x:c r="F24" s="37" t="n">
        <x:f>F18-F23</x:f>
        <x:v>7379.7309373975</x:v>
      </x:c>
      <x:c r="G24" s="37" t="n">
        <x:f>G18-G23</x:f>
        <x:v>8984.339009275576</x:v>
      </x:c>
      <x:c r="H24" s="37" t="n">
        <x:f>H18-H23</x:f>
        <x:v>10540.808838997307</x:v>
      </x:c>
      <x:c r="I24" s="37" t="n">
        <x:f>I18-I23</x:f>
        <x:v>12963.58457382739</x:v>
      </x:c>
      <x:c r="J24" s="37" t="n">
        <x:f>J18-J23</x:f>
        <x:v>16226.67703661257</x:v>
      </x:c>
      <x:c r="K24" s="37" t="n">
        <x:f>K18-K23</x:f>
        <x:v>19391.876725514194</x:v>
      </x:c>
      <x:c r="L24" s="37" t="n">
        <x:f>L18-L23</x:f>
        <x:v>22462.12042374877</x:v>
      </x:c>
      <x:c r="M24" s="37" t="n">
        <x:f>M18-M23</x:f>
        <x:v>25440.256811036303</x:v>
      </x:c>
      <x:c r="N24" s="37" t="n">
        <x:f>N18-N23</x:f>
        <x:v>28329.049106705213</x:v>
      </x:c>
      <x:c r="O24" s="37" t="n">
        <x:f>O18-O23</x:f>
        <x:v>40164.18130889593</x:v>
      </x:c>
      <x:c r="P24" s="37" t="n">
        <x:f>P18-P23</x:f>
        <x:v>48351.75586962906</x:v>
      </x:c>
      <x:c r="Q24" s="37" t="n">
        <x:f>Q18-Q23</x:f>
        <x:v>56293.70319354019</x:v>
      </x:c>
      <x:c r="R24" s="37" t="n">
        <x:f>R18-R23</x:f>
        <x:v>63997.39209773398</x:v>
      </x:c>
      <x:c r="S24" s="37" t="n">
        <x:f>S18-S23</x:f>
        <x:v>71469.97033480197</x:v>
      </x:c>
      <x:c r="T24" s="37" t="n">
        <x:f>T18-T23</x:f>
        <x:v>78718.37122475791</x:v>
      </x:c>
      <x:c r="U24" s="37" t="n">
        <x:f>U18-U23</x:f>
        <x:v>85749.32008801519</x:v>
      </x:c>
      <x:c r="V24" s="37" t="n">
        <x:f>V18-V23</x:f>
        <x:v>92569.34048537472</x:v>
      </x:c>
      <x:c r="W24" s="37" t="n">
        <x:f>W18-W23</x:f>
        <x:v>99184.76027081347</x:v>
      </x:c>
      <x:c r="X24" s="37" t="n">
        <x:f>X18-X23</x:f>
        <x:v>105601.71746268906</x:v>
      </x:c>
      <x:c r="Y24" s="37" t="n">
        <x:f>Y18-Y23</x:f>
        <x:v>111826.16593880841</x:v>
      </x:c>
      <x:c r="Z24" s="37" t="n">
        <x:f>Z18-Z23</x:f>
        <x:v>117863.88096064414</x:v>
      </x:c>
      <x:c r="AA24" s="37" t="n">
        <x:f>AA18-AA23</x:f>
        <x:v>151528.8454715421</x:v>
      </x:c>
      <x:c r="AB24" s="37" t="n">
        <x:f>AB18-AB23</x:f>
        <x:v>172137.98010739582</x:v>
      </x:c>
      <x:c r="AC24" s="37" t="n">
        <x:f>AC18-AC23</x:f>
        <x:v>192128.84070417393</x:v>
      </x:c>
      <x:c r="AD24" s="37" t="n">
        <x:f>AD18-AD23</x:f>
        <x:v>211519.9754830487</x:v>
      </x:c>
      <x:c r="AE24" s="37" t="n">
        <x:f>AE18-AE23</x:f>
        <x:v>230329.3762185573</x:v>
      </x:c>
      <x:c r="AF24" s="37" t="n">
        <x:f>AF18-AF23</x:f>
        <x:v>248574.4949320005</x:v>
      </x:c>
      <x:c r="AG24" s="37" t="n">
        <x:f>AG18-AG23</x:f>
        <x:v>266272.2600840405</x:v>
      </x:c>
      <x:c r="AH24" s="37" t="n">
        <x:f>AH18-AH23</x:f>
        <x:v>283439.0922815193</x:v>
      </x:c>
      <x:c r="AI24" s="37" t="n">
        <x:f>AI18-AI23</x:f>
        <x:v>300090.91951307375</x:v>
      </x:c>
      <x:c r="AJ24" s="37" t="n">
        <x:f>AJ18-AJ23</x:f>
        <x:v>316243.19192768144</x:v>
      </x:c>
      <x:c r="AK24" s="37" t="n">
        <x:f>AK18-AK23</x:f>
        <x:v>331910.896169851</x:v>
      </x:c>
      <x:c r="AL24" s="37" t="n">
        <x:f>AL18-AL23</x:f>
        <x:v>347108.56928475545</x:v>
      </x:c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8" t="str">
        <x:v>Валовая маржа</x:v>
      </x:c>
      <x:c r="B25" s="8"/>
      <x:c r="C25" s="39" t="n">
        <x:f>IF(C18=0,0,C24/C18)</x:f>
        <x:v>0.83</x:v>
      </x:c>
      <x:c r="D25" s="39" t="n">
        <x:f>IF(D18=0,0,D24/D18)</x:f>
        <x:v>0.8300000000000001</x:v>
      </x:c>
      <x:c r="E25" s="39" t="n">
        <x:f>IF(E18=0,0,E24/E18)</x:f>
        <x:v>0.8300000000000001</x:v>
      </x:c>
      <x:c r="F25" s="39" t="n">
        <x:f>IF(F18=0,0,F24/F18)</x:f>
        <x:v>0.83</x:v>
      </x:c>
      <x:c r="G25" s="39" t="n">
        <x:f>IF(G18=0,0,G24/G18)</x:f>
        <x:v>0.8300000000000001</x:v>
      </x:c>
      <x:c r="H25" s="39" t="n">
        <x:f>IF(H18=0,0,H24/H18)</x:f>
        <x:v>0.8300000000000001</x:v>
      </x:c>
      <x:c r="I25" s="39" t="n">
        <x:f>IF(I18=0,0,I24/I18)</x:f>
        <x:v>0.83</x:v>
      </x:c>
      <x:c r="J25" s="39" t="n">
        <x:f>IF(J18=0,0,J24/J18)</x:f>
        <x:v>0.8300000000000001</x:v>
      </x:c>
      <x:c r="K25" s="39" t="n">
        <x:f>IF(K18=0,0,K24/K18)</x:f>
        <x:v>0.83</x:v>
      </x:c>
      <x:c r="L25" s="39" t="n">
        <x:f>IF(L18=0,0,L24/L18)</x:f>
        <x:v>0.83</x:v>
      </x:c>
      <x:c r="M25" s="39" t="n">
        <x:f>IF(M18=0,0,M24/M18)</x:f>
        <x:v>0.83</x:v>
      </x:c>
      <x:c r="N25" s="39" t="n">
        <x:f>IF(N18=0,0,N24/N18)</x:f>
        <x:v>0.83</x:v>
      </x:c>
      <x:c r="O25" s="39" t="n">
        <x:f>IF(O18=0,0,O24/O18)</x:f>
        <x:v>0.85</x:v>
      </x:c>
      <x:c r="P25" s="39" t="n">
        <x:f>IF(P18=0,0,P24/P18)</x:f>
        <x:v>0.85</x:v>
      </x:c>
      <x:c r="Q25" s="39" t="n">
        <x:f>IF(Q18=0,0,Q24/Q18)</x:f>
        <x:v>0.85</x:v>
      </x:c>
      <x:c r="R25" s="39" t="n">
        <x:f>IF(R18=0,0,R24/R18)</x:f>
        <x:v>0.85</x:v>
      </x:c>
      <x:c r="S25" s="39" t="n">
        <x:f>IF(S18=0,0,S24/S18)</x:f>
        <x:v>0.8500000000000001</x:v>
      </x:c>
      <x:c r="T25" s="39" t="n">
        <x:f>IF(T18=0,0,T24/T18)</x:f>
        <x:v>0.8500000000000001</x:v>
      </x:c>
      <x:c r="U25" s="39" t="n">
        <x:f>IF(U18=0,0,U24/U18)</x:f>
        <x:v>0.8500000000000001</x:v>
      </x:c>
      <x:c r="V25" s="39" t="n">
        <x:f>IF(V18=0,0,V24/V18)</x:f>
        <x:v>0.8500000000000001</x:v>
      </x:c>
      <x:c r="W25" s="39" t="n">
        <x:f>IF(W18=0,0,W24/W18)</x:f>
        <x:v>0.85</x:v>
      </x:c>
      <x:c r="X25" s="39" t="n">
        <x:f>IF(X18=0,0,X24/X18)</x:f>
        <x:v>0.85</x:v>
      </x:c>
      <x:c r="Y25" s="39" t="n">
        <x:f>IF(Y18=0,0,Y24/Y18)</x:f>
        <x:v>0.85</x:v>
      </x:c>
      <x:c r="Z25" s="39" t="n">
        <x:f>IF(Z18=0,0,Z24/Z18)</x:f>
        <x:v>0.85</x:v>
      </x:c>
      <x:c r="AA25" s="39" t="n">
        <x:f>IF(AA18=0,0,AA24/AA18)</x:f>
        <x:v>0.86</x:v>
      </x:c>
      <x:c r="AB25" s="39" t="n">
        <x:f>IF(AB18=0,0,AB24/AB18)</x:f>
        <x:v>0.86</x:v>
      </x:c>
      <x:c r="AC25" s="39" t="n">
        <x:f>IF(AC18=0,0,AC24/AC18)</x:f>
        <x:v>0.86</x:v>
      </x:c>
      <x:c r="AD25" s="39" t="n">
        <x:f>IF(AD18=0,0,AD24/AD18)</x:f>
        <x:v>0.86</x:v>
      </x:c>
      <x:c r="AE25" s="39" t="n">
        <x:f>IF(AE18=0,0,AE24/AE18)</x:f>
        <x:v>0.86</x:v>
      </x:c>
      <x:c r="AF25" s="39" t="n">
        <x:f>IF(AF18=0,0,AF24/AF18)</x:f>
        <x:v>0.86</x:v>
      </x:c>
      <x:c r="AG25" s="39" t="n">
        <x:f>IF(AG18=0,0,AG24/AG18)</x:f>
        <x:v>0.86</x:v>
      </x:c>
      <x:c r="AH25" s="39" t="n">
        <x:f>IF(AH18=0,0,AH24/AH18)</x:f>
        <x:v>0.8600000000000001</x:v>
      </x:c>
      <x:c r="AI25" s="39" t="n">
        <x:f>IF(AI18=0,0,AI24/AI18)</x:f>
        <x:v>0.8600000000000001</x:v>
      </x:c>
      <x:c r="AJ25" s="39" t="n">
        <x:f>IF(AJ18=0,0,AJ24/AJ18)</x:f>
        <x:v>0.86</x:v>
      </x:c>
      <x:c r="AK25" s="39" t="n">
        <x:f>IF(AK18=0,0,AK24/AK18)</x:f>
        <x:v>0.86</x:v>
      </x:c>
      <x:c r="AL25" s="39" t="n">
        <x:f>IF(AL18=0,0,AL24/AL18)</x:f>
        <x:v>0.86</x:v>
      </x:c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 ht="23" customHeight="1">
      <x:c r="A27" s="61" t="str">
        <x:v>Операционные расходы и cash</x:v>
      </x:c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  <x:c r="AA27" s="61"/>
      <x:c r="AB27" s="61"/>
      <x:c r="AC27" s="61"/>
      <x:c r="AD27" s="61"/>
      <x:c r="AE27" s="61"/>
      <x:c r="AF27" s="61"/>
      <x:c r="AG27" s="61"/>
      <x:c r="AH27" s="61"/>
      <x:c r="AI27" s="61"/>
      <x:c r="AJ27" s="61"/>
      <x:c r="AK27" s="61"/>
      <x:c r="AL27" s="61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 t="str">
        <x:v>OPEX, MDL</x:v>
      </x:c>
      <x:c r="B28" s="7"/>
      <x:c r="C28" s="31" t="n">
        <x:f>IF(C$4&lt;=12,'Assumptions'!$B$54/12,IF(C$4&lt;=24,'Assumptions'!$B$55/12,'Assumptions'!$B$56/12))</x:f>
        <x:v>37500</x:v>
      </x:c>
      <x:c r="D28" s="31" t="n">
        <x:f>IF(D$4&lt;=12,'Assumptions'!$B$54/12,IF(D$4&lt;=24,'Assumptions'!$B$55/12,'Assumptions'!$B$56/12))</x:f>
        <x:v>37500</x:v>
      </x:c>
      <x:c r="E28" s="31" t="n">
        <x:f>IF(E$4&lt;=12,'Assumptions'!$B$54/12,IF(E$4&lt;=24,'Assumptions'!$B$55/12,'Assumptions'!$B$56/12))</x:f>
        <x:v>37500</x:v>
      </x:c>
      <x:c r="F28" s="31" t="n">
        <x:f>IF(F$4&lt;=12,'Assumptions'!$B$54/12,IF(F$4&lt;=24,'Assumptions'!$B$55/12,'Assumptions'!$B$56/12))</x:f>
        <x:v>37500</x:v>
      </x:c>
      <x:c r="G28" s="31" t="n">
        <x:f>IF(G$4&lt;=12,'Assumptions'!$B$54/12,IF(G$4&lt;=24,'Assumptions'!$B$55/12,'Assumptions'!$B$56/12))</x:f>
        <x:v>37500</x:v>
      </x:c>
      <x:c r="H28" s="31" t="n">
        <x:f>IF(H$4&lt;=12,'Assumptions'!$B$54/12,IF(H$4&lt;=24,'Assumptions'!$B$55/12,'Assumptions'!$B$56/12))</x:f>
        <x:v>37500</x:v>
      </x:c>
      <x:c r="I28" s="31" t="n">
        <x:f>IF(I$4&lt;=12,'Assumptions'!$B$54/12,IF(I$4&lt;=24,'Assumptions'!$B$55/12,'Assumptions'!$B$56/12))</x:f>
        <x:v>37500</x:v>
      </x:c>
      <x:c r="J28" s="31" t="n">
        <x:f>IF(J$4&lt;=12,'Assumptions'!$B$54/12,IF(J$4&lt;=24,'Assumptions'!$B$55/12,'Assumptions'!$B$56/12))</x:f>
        <x:v>37500</x:v>
      </x:c>
      <x:c r="K28" s="31" t="n">
        <x:f>IF(K$4&lt;=12,'Assumptions'!$B$54/12,IF(K$4&lt;=24,'Assumptions'!$B$55/12,'Assumptions'!$B$56/12))</x:f>
        <x:v>37500</x:v>
      </x:c>
      <x:c r="L28" s="31" t="n">
        <x:f>IF(L$4&lt;=12,'Assumptions'!$B$54/12,IF(L$4&lt;=24,'Assumptions'!$B$55/12,'Assumptions'!$B$56/12))</x:f>
        <x:v>37500</x:v>
      </x:c>
      <x:c r="M28" s="31" t="n">
        <x:f>IF(M$4&lt;=12,'Assumptions'!$B$54/12,IF(M$4&lt;=24,'Assumptions'!$B$55/12,'Assumptions'!$B$56/12))</x:f>
        <x:v>37500</x:v>
      </x:c>
      <x:c r="N28" s="31" t="n">
        <x:f>IF(N$4&lt;=12,'Assumptions'!$B$54/12,IF(N$4&lt;=24,'Assumptions'!$B$55/12,'Assumptions'!$B$56/12))</x:f>
        <x:v>37500</x:v>
      </x:c>
      <x:c r="O28" s="31" t="n">
        <x:f>IF(O$4&lt;=12,'Assumptions'!$B$54/12,IF(O$4&lt;=24,'Assumptions'!$B$55/12,'Assumptions'!$B$56/12))</x:f>
        <x:v>75000</x:v>
      </x:c>
      <x:c r="P28" s="31" t="n">
        <x:f>IF(P$4&lt;=12,'Assumptions'!$B$54/12,IF(P$4&lt;=24,'Assumptions'!$B$55/12,'Assumptions'!$B$56/12))</x:f>
        <x:v>75000</x:v>
      </x:c>
      <x:c r="Q28" s="31" t="n">
        <x:f>IF(Q$4&lt;=12,'Assumptions'!$B$54/12,IF(Q$4&lt;=24,'Assumptions'!$B$55/12,'Assumptions'!$B$56/12))</x:f>
        <x:v>75000</x:v>
      </x:c>
      <x:c r="R28" s="31" t="n">
        <x:f>IF(R$4&lt;=12,'Assumptions'!$B$54/12,IF(R$4&lt;=24,'Assumptions'!$B$55/12,'Assumptions'!$B$56/12))</x:f>
        <x:v>75000</x:v>
      </x:c>
      <x:c r="S28" s="31" t="n">
        <x:f>IF(S$4&lt;=12,'Assumptions'!$B$54/12,IF(S$4&lt;=24,'Assumptions'!$B$55/12,'Assumptions'!$B$56/12))</x:f>
        <x:v>75000</x:v>
      </x:c>
      <x:c r="T28" s="31" t="n">
        <x:f>IF(T$4&lt;=12,'Assumptions'!$B$54/12,IF(T$4&lt;=24,'Assumptions'!$B$55/12,'Assumptions'!$B$56/12))</x:f>
        <x:v>75000</x:v>
      </x:c>
      <x:c r="U28" s="31" t="n">
        <x:f>IF(U$4&lt;=12,'Assumptions'!$B$54/12,IF(U$4&lt;=24,'Assumptions'!$B$55/12,'Assumptions'!$B$56/12))</x:f>
        <x:v>75000</x:v>
      </x:c>
      <x:c r="V28" s="31" t="n">
        <x:f>IF(V$4&lt;=12,'Assumptions'!$B$54/12,IF(V$4&lt;=24,'Assumptions'!$B$55/12,'Assumptions'!$B$56/12))</x:f>
        <x:v>75000</x:v>
      </x:c>
      <x:c r="W28" s="31" t="n">
        <x:f>IF(W$4&lt;=12,'Assumptions'!$B$54/12,IF(W$4&lt;=24,'Assumptions'!$B$55/12,'Assumptions'!$B$56/12))</x:f>
        <x:v>75000</x:v>
      </x:c>
      <x:c r="X28" s="31" t="n">
        <x:f>IF(X$4&lt;=12,'Assumptions'!$B$54/12,IF(X$4&lt;=24,'Assumptions'!$B$55/12,'Assumptions'!$B$56/12))</x:f>
        <x:v>75000</x:v>
      </x:c>
      <x:c r="Y28" s="31" t="n">
        <x:f>IF(Y$4&lt;=12,'Assumptions'!$B$54/12,IF(Y$4&lt;=24,'Assumptions'!$B$55/12,'Assumptions'!$B$56/12))</x:f>
        <x:v>75000</x:v>
      </x:c>
      <x:c r="Z28" s="31" t="n">
        <x:f>IF(Z$4&lt;=12,'Assumptions'!$B$54/12,IF(Z$4&lt;=24,'Assumptions'!$B$55/12,'Assumptions'!$B$56/12))</x:f>
        <x:v>75000</x:v>
      </x:c>
      <x:c r="AA28" s="31" t="n">
        <x:f>IF(AA$4&lt;=12,'Assumptions'!$B$54/12,IF(AA$4&lt;=24,'Assumptions'!$B$55/12,'Assumptions'!$B$56/12))</x:f>
        <x:v>166666.66666666666</x:v>
      </x:c>
      <x:c r="AB28" s="31" t="n">
        <x:f>IF(AB$4&lt;=12,'Assumptions'!$B$54/12,IF(AB$4&lt;=24,'Assumptions'!$B$55/12,'Assumptions'!$B$56/12))</x:f>
        <x:v>166666.66666666666</x:v>
      </x:c>
      <x:c r="AC28" s="31" t="n">
        <x:f>IF(AC$4&lt;=12,'Assumptions'!$B$54/12,IF(AC$4&lt;=24,'Assumptions'!$B$55/12,'Assumptions'!$B$56/12))</x:f>
        <x:v>166666.66666666666</x:v>
      </x:c>
      <x:c r="AD28" s="31" t="n">
        <x:f>IF(AD$4&lt;=12,'Assumptions'!$B$54/12,IF(AD$4&lt;=24,'Assumptions'!$B$55/12,'Assumptions'!$B$56/12))</x:f>
        <x:v>166666.66666666666</x:v>
      </x:c>
      <x:c r="AE28" s="31" t="n">
        <x:f>IF(AE$4&lt;=12,'Assumptions'!$B$54/12,IF(AE$4&lt;=24,'Assumptions'!$B$55/12,'Assumptions'!$B$56/12))</x:f>
        <x:v>166666.66666666666</x:v>
      </x:c>
      <x:c r="AF28" s="31" t="n">
        <x:f>IF(AF$4&lt;=12,'Assumptions'!$B$54/12,IF(AF$4&lt;=24,'Assumptions'!$B$55/12,'Assumptions'!$B$56/12))</x:f>
        <x:v>166666.66666666666</x:v>
      </x:c>
      <x:c r="AG28" s="31" t="n">
        <x:f>IF(AG$4&lt;=12,'Assumptions'!$B$54/12,IF(AG$4&lt;=24,'Assumptions'!$B$55/12,'Assumptions'!$B$56/12))</x:f>
        <x:v>166666.66666666666</x:v>
      </x:c>
      <x:c r="AH28" s="31" t="n">
        <x:f>IF(AH$4&lt;=12,'Assumptions'!$B$54/12,IF(AH$4&lt;=24,'Assumptions'!$B$55/12,'Assumptions'!$B$56/12))</x:f>
        <x:v>166666.66666666666</x:v>
      </x:c>
      <x:c r="AI28" s="31" t="n">
        <x:f>IF(AI$4&lt;=12,'Assumptions'!$B$54/12,IF(AI$4&lt;=24,'Assumptions'!$B$55/12,'Assumptions'!$B$56/12))</x:f>
        <x:v>166666.66666666666</x:v>
      </x:c>
      <x:c r="AJ28" s="31" t="n">
        <x:f>IF(AJ$4&lt;=12,'Assumptions'!$B$54/12,IF(AJ$4&lt;=24,'Assumptions'!$B$55/12,'Assumptions'!$B$56/12))</x:f>
        <x:v>166666.66666666666</x:v>
      </x:c>
      <x:c r="AK28" s="31" t="n">
        <x:f>IF(AK$4&lt;=12,'Assumptions'!$B$54/12,IF(AK$4&lt;=24,'Assumptions'!$B$55/12,'Assumptions'!$B$56/12))</x:f>
        <x:v>166666.66666666666</x:v>
      </x:c>
      <x:c r="AL28" s="31" t="n">
        <x:f>IF(AL$4&lt;=12,'Assumptions'!$B$54/12,IF(AL$4&lt;=24,'Assumptions'!$B$55/12,'Assumptions'!$B$56/12))</x:f>
        <x:v>166666.66666666666</x:v>
      </x:c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36" t="str">
        <x:v>EBITDA до налогов, MDL</x:v>
      </x:c>
      <x:c r="B29" s="36"/>
      <x:c r="C29" s="37" t="n">
        <x:f>C24-C28</x:f>
        <x:v>-35238.0425</x:v>
      </x:c>
      <x:c r="D29" s="37" t="n">
        <x:f>D24-D28</x:f>
        <x:v>-33479.901225</x:v>
      </x:c>
      <x:c r="E29" s="37" t="n">
        <x:f>E24-E28</x:f>
        <x:v>-31774.50418825</x:v>
      </x:c>
      <x:c r="F29" s="37" t="n">
        <x:f>F24-F28</x:f>
        <x:v>-30120.2690626025</x:v>
      </x:c>
      <x:c r="G29" s="37" t="n">
        <x:f>G24-G28</x:f>
        <x:v>-28515.660990724424</x:v>
      </x:c>
      <x:c r="H29" s="37" t="n">
        <x:f>H24-H28</x:f>
        <x:v>-26959.191161002695</x:v>
      </x:c>
      <x:c r="I29" s="37" t="n">
        <x:f>I24-I28</x:f>
        <x:v>-24536.41542617261</x:v>
      </x:c>
      <x:c r="J29" s="37" t="n">
        <x:f>J24-J28</x:f>
        <x:v>-21273.32296338743</x:v>
      </x:c>
      <x:c r="K29" s="37" t="n">
        <x:f>K24-K28</x:f>
        <x:v>-18108.123274485806</x:v>
      </x:c>
      <x:c r="L29" s="37" t="n">
        <x:f>L24-L28</x:f>
        <x:v>-15037.87957625123</x:v>
      </x:c>
      <x:c r="M29" s="37" t="n">
        <x:f>M24-M28</x:f>
        <x:v>-12059.743188963697</x:v>
      </x:c>
      <x:c r="N29" s="37" t="n">
        <x:f>N24-N28</x:f>
        <x:v>-9170.950893294787</x:v>
      </x:c>
      <x:c r="O29" s="37" t="n">
        <x:f>O24-O28</x:f>
        <x:v>-34835.81869110407</x:v>
      </x:c>
      <x:c r="P29" s="37" t="n">
        <x:f>P24-P28</x:f>
        <x:v>-26648.244130370942</x:v>
      </x:c>
      <x:c r="Q29" s="37" t="n">
        <x:f>Q24-Q28</x:f>
        <x:v>-18706.29680645981</x:v>
      </x:c>
      <x:c r="R29" s="37" t="n">
        <x:f>R24-R28</x:f>
        <x:v>-11002.60790226602</x:v>
      </x:c>
      <x:c r="S29" s="37" t="n">
        <x:f>S24-S28</x:f>
        <x:v>-3530.0296651980316</x:v>
      </x:c>
      <x:c r="T29" s="37" t="n">
        <x:f>T24-T28</x:f>
        <x:v>3718.3712247579097</x:v>
      </x:c>
      <x:c r="U29" s="37" t="n">
        <x:f>U24-U28</x:f>
        <x:v>10749.320088015185</x:v>
      </x:c>
      <x:c r="V29" s="37" t="n">
        <x:f>V24-V28</x:f>
        <x:v>17569.34048537472</x:v>
      </x:c>
      <x:c r="W29" s="37" t="n">
        <x:f>W24-W28</x:f>
        <x:v>24184.760270813465</x:v>
      </x:c>
      <x:c r="X29" s="37" t="n">
        <x:f>X24-X28</x:f>
        <x:v>30601.717462689063</x:v>
      </x:c>
      <x:c r="Y29" s="37" t="n">
        <x:f>Y24-Y28</x:f>
        <x:v>36826.16593880841</x:v>
      </x:c>
      <x:c r="Z29" s="37" t="n">
        <x:f>Z24-Z28</x:f>
        <x:v>42863.880960644135</x:v>
      </x:c>
      <x:c r="AA29" s="37" t="n">
        <x:f>AA24-AA28</x:f>
        <x:v>-15137.821195124561</x:v>
      </x:c>
      <x:c r="AB29" s="37" t="n">
        <x:f>AB24-AB28</x:f>
        <x:v>5471.313440729165</x:v>
      </x:c>
      <x:c r="AC29" s="37" t="n">
        <x:f>AC24-AC28</x:f>
        <x:v>25462.17403750727</x:v>
      </x:c>
      <x:c r="AD29" s="37" t="n">
        <x:f>AD24-AD28</x:f>
        <x:v>44853.30881638205</x:v>
      </x:c>
      <x:c r="AE29" s="37" t="n">
        <x:f>AE24-AE28</x:f>
        <x:v>63662.70955189064</x:v>
      </x:c>
      <x:c r="AF29" s="37" t="n">
        <x:f>AF24-AF28</x:f>
        <x:v>81907.82826533384</x:v>
      </x:c>
      <x:c r="AG29" s="37" t="n">
        <x:f>AG24-AG28</x:f>
        <x:v>99605.59341737386</x:v>
      </x:c>
      <x:c r="AH29" s="37" t="n">
        <x:f>AH24-AH28</x:f>
        <x:v>116772.42561485266</x:v>
      </x:c>
      <x:c r="AI29" s="37" t="n">
        <x:f>AI24-AI28</x:f>
        <x:v>133424.2528464071</x:v>
      </x:c>
      <x:c r="AJ29" s="37" t="n">
        <x:f>AJ24-AJ28</x:f>
        <x:v>149576.5252610148</x:v>
      </x:c>
      <x:c r="AK29" s="37" t="n">
        <x:f>AK24-AK28</x:f>
        <x:v>165244.22950318435</x:v>
      </x:c>
      <x:c r="AL29" s="37" t="n">
        <x:f>AL24-AL28</x:f>
        <x:v>180441.9026180888</x:v>
      </x:c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8" t="str">
        <x:v>EBITDA margin</x:v>
      </x:c>
      <x:c r="B30" s="8"/>
      <x:c r="C30" s="39" t="n">
        <x:f>IF(C18=0,0,C29/C18)</x:f>
        <x:v>-12.930205485735256</x:v>
      </x:c>
      <x:c r="D30" s="39" t="n">
        <x:f>IF(D18=0,0,D29/D18)</x:f>
        <x:v>-6.912347077031708</x:v>
      </x:c>
      <x:c r="E30" s="39" t="n">
        <x:f>IF(E18=0,0,E29/E18)</x:f>
        <x:v>-4.606210421484289</x:v>
      </x:c>
      <x:c r="F30" s="39" t="n">
        <x:f>IF(F18=0,0,F29/F18)</x:f>
        <x:v>-3.3876334427412593</x:v>
      </x:c>
      <x:c r="G30" s="39" t="n">
        <x:f>IF(G18=0,0,G29/G18)</x:f>
        <x:v>-2.634361704057032</x:v>
      </x:c>
      <x:c r="H30" s="39" t="n">
        <x:f>IF(H18=0,0,H29/H18)</x:f>
        <x:v>-2.1228094547022223</x:v>
      </x:c>
      <x:c r="I30" s="39" t="n">
        <x:f>IF(I18=0,0,I29/I18)</x:f>
        <x:v>-1.5709562959028551</x:v>
      </x:c>
      <x:c r="J30" s="39" t="n">
        <x:f>IF(J18=0,0,J29/J18)</x:f>
        <x:v>-1.0881376402434122</x:v>
      </x:c>
      <x:c r="K30" s="39" t="n">
        <x:f>IF(K18=0,0,K29/K18)</x:f>
        <x:v>-0.7750535201189864</x:v>
      </x:c>
      <x:c r="L30" s="39" t="n">
        <x:f>IF(L18=0,0,L29/L18)</x:f>
        <x:v>-0.5556661531870399</x:v>
      </x:c>
      <x:c r="M30" s="39" t="n">
        <x:f>IF(M18=0,0,M29/M18)</x:f>
        <x:v>-0.3934546306347656</x:v>
      </x:c>
      <x:c r="N30" s="39" t="n">
        <x:f>IF(N18=0,0,N29/N18)</x:f>
        <x:v>-0.2686955433189253</x:v>
      </x:c>
      <x:c r="O30" s="39" t="n">
        <x:f>IF(O18=0,0,O29/O18)</x:f>
        <x:v>-0.7372351414238851</x:v>
      </x:c>
      <x:c r="P30" s="39" t="n">
        <x:f>IF(P18=0,0,P29/P18)</x:f>
        <x:v>-0.468462977267863</x:v>
      </x:c>
      <x:c r="Q30" s="39" t="n">
        <x:f>IF(Q18=0,0,Q29/Q18)</x:f>
        <x:v>-0.2824534785147237</x:v>
      </x:c>
      <x:c r="R30" s="39" t="n">
        <x:f>IF(R18=0,0,R29/R18)</x:f>
        <x:v>-0.14613434095320363</x:v>
      </x:c>
      <x:c r="S30" s="39" t="n">
        <x:f>IF(S18=0,0,S29/S18)</x:f>
        <x:v>-0.04198302030016704</x:v>
      </x:c>
      <x:c r="T30" s="39" t="n">
        <x:f>IF(T18=0,0,T29/T18)</x:f>
        <x:v>0.040150926548263875</x:v>
      </x:c>
      <x:c r="U30" s="39" t="n">
        <x:f>IF(U18=0,0,U29/U18)</x:f>
        <x:v>0.1065538719774635</x:v>
      </x:c>
      <x:c r="V30" s="39" t="n">
        <x:f>IF(V18=0,0,V29/V18)</x:f>
        <x:v>0.16132705855161586</x:v>
      </x:c>
      <x:c r="W30" s="39" t="n">
        <x:f>IF(W18=0,0,W29/W18)</x:f>
        <x:v>0.20726012921806344</x:v>
      </x:c>
      <x:c r="X30" s="39" t="n">
        <x:f>IF(X18=0,0,X29/X18)</x:f>
        <x:v>0.2463166363982291</x:v>
      </x:c>
      <x:c r="Y30" s="39" t="n">
        <x:f>IF(Y18=0,0,Y29/Y18)</x:f>
        <x:v>0.2799187541233938</x:v>
      </x:c>
      <x:c r="Z30" s="39" t="n">
        <x:f>IF(Z18=0,0,Z29/Z18)</x:f>
        <x:v>0.30912183206247273</x:v>
      </x:c>
      <x:c r="AA30" s="39" t="n">
        <x:f>IF(AA18=0,0,AA29/AA18)</x:f>
        <x:v>-0.08591450814064355</x:v>
      </x:c>
      <x:c r="AB30" s="39" t="n">
        <x:f>IF(AB18=0,0,AB29/AB18)</x:f>
        <x:v>0.02733463908482867</x:v>
      </x:c>
      <x:c r="AC30" s="39" t="n">
        <x:f>IF(AC18=0,0,AC29/AC18)</x:f>
        <x:v>0.11397284026697684</x:v>
      </x:c>
      <x:c r="AD30" s="39" t="n">
        <x:f>IF(AD18=0,0,AD29/AD18)</x:f>
        <x:v>0.1823650248351125</x:v>
      </x:c>
      <x:c r="AE30" s="39" t="n">
        <x:f>IF(AE18=0,0,AE29/AE18)</x:f>
        <x:v>0.2377027677211016</x:v>
      </x:c>
      <x:c r="AF30" s="39" t="n">
        <x:f>IF(AF18=0,0,AF29/AF18)</x:f>
        <x:v>0.2833787606707467</x:v>
      </x:c>
      <x:c r="AG30" s="39" t="n">
        <x:f>IF(AG18=0,0,AG29/AG18)</x:f>
        <x:v>0.32170384670151286</x:v>
      </x:c>
      <x:c r="AH30" s="39" t="n">
        <x:f>IF(AH18=0,0,AH29/AH18)</x:f>
        <x:v>0.3543064057269461</x:v>
      </x:c>
      <x:c r="AI30" s="39" t="n">
        <x:f>IF(AI18=0,0,AI29/AI18)</x:f>
        <x:v>0.38236697609542675</x:v>
      </x:c>
      <x:c r="AJ30" s="39" t="n">
        <x:f>IF(AJ18=0,0,AJ29/AJ18)</x:f>
        <x:v>0.4067623114362227</x:v>
      </x:c>
      <x:c r="AK30" s="39" t="n">
        <x:f>IF(AK18=0,0,AK29/AK18)</x:f>
        <x:v>0.428157192224312</x:v>
      </x:c>
      <x:c r="AL30" s="39" t="n">
        <x:f>IF(AL18=0,0,AL29/AL18)</x:f>
        <x:v>0.44706483787282186</x:v>
      </x:c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 ht="23" customHeight="1">
      <x:c r="A31" s="61" t="str">
        <x:v>Ориентировочный налоговый блок</x:v>
      </x:c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  <x:c r="AA31" s="61"/>
      <x:c r="AB31" s="61"/>
      <x:c r="AC31" s="61"/>
      <x:c r="AD31" s="61"/>
      <x:c r="AE31" s="61"/>
      <x:c r="AF31" s="61"/>
      <x:c r="AG31" s="61"/>
      <x:c r="AH31" s="61"/>
      <x:c r="AI31" s="61"/>
      <x:c r="AJ31" s="61"/>
      <x:c r="AK31" s="61"/>
      <x:c r="AL31" s="61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 t="str">
        <x:v>MITP rate</x:v>
      </x:c>
      <x:c r="B32" s="7"/>
      <x:c r="C32" s="38" t="n">
        <x:f>'Assumptions'!$B$82</x:f>
        <x:v>0.07</x:v>
      </x:c>
      <x:c r="D32" s="38" t="n">
        <x:f>'Assumptions'!$B$82</x:f>
        <x:v>0.07</x:v>
      </x:c>
      <x:c r="E32" s="38" t="n">
        <x:f>'Assumptions'!$B$82</x:f>
        <x:v>0.07</x:v>
      </x:c>
      <x:c r="F32" s="38" t="n">
        <x:f>'Assumptions'!$B$82</x:f>
        <x:v>0.07</x:v>
      </x:c>
      <x:c r="G32" s="38" t="n">
        <x:f>'Assumptions'!$B$82</x:f>
        <x:v>0.07</x:v>
      </x:c>
      <x:c r="H32" s="38" t="n">
        <x:f>'Assumptions'!$B$82</x:f>
        <x:v>0.07</x:v>
      </x:c>
      <x:c r="I32" s="38" t="n">
        <x:f>'Assumptions'!$B$82</x:f>
        <x:v>0.07</x:v>
      </x:c>
      <x:c r="J32" s="38" t="n">
        <x:f>'Assumptions'!$B$82</x:f>
        <x:v>0.07</x:v>
      </x:c>
      <x:c r="K32" s="38" t="n">
        <x:f>'Assumptions'!$B$82</x:f>
        <x:v>0.07</x:v>
      </x:c>
      <x:c r="L32" s="38" t="n">
        <x:f>'Assumptions'!$B$82</x:f>
        <x:v>0.07</x:v>
      </x:c>
      <x:c r="M32" s="38" t="n">
        <x:f>'Assumptions'!$B$82</x:f>
        <x:v>0.07</x:v>
      </x:c>
      <x:c r="N32" s="38" t="n">
        <x:f>'Assumptions'!$B$82</x:f>
        <x:v>0.07</x:v>
      </x:c>
      <x:c r="O32" s="38" t="n">
        <x:f>'Assumptions'!$B$82</x:f>
        <x:v>0.07</x:v>
      </x:c>
      <x:c r="P32" s="38" t="n">
        <x:f>'Assumptions'!$B$82</x:f>
        <x:v>0.07</x:v>
      </x:c>
      <x:c r="Q32" s="38" t="n">
        <x:f>'Assumptions'!$B$82</x:f>
        <x:v>0.07</x:v>
      </x:c>
      <x:c r="R32" s="38" t="n">
        <x:f>'Assumptions'!$B$82</x:f>
        <x:v>0.07</x:v>
      </x:c>
      <x:c r="S32" s="38" t="n">
        <x:f>'Assumptions'!$B$82</x:f>
        <x:v>0.07</x:v>
      </x:c>
      <x:c r="T32" s="38" t="n">
        <x:f>'Assumptions'!$B$82</x:f>
        <x:v>0.07</x:v>
      </x:c>
      <x:c r="U32" s="38" t="n">
        <x:f>'Assumptions'!$B$82</x:f>
        <x:v>0.07</x:v>
      </x:c>
      <x:c r="V32" s="38" t="n">
        <x:f>'Assumptions'!$B$82</x:f>
        <x:v>0.07</x:v>
      </x:c>
      <x:c r="W32" s="38" t="n">
        <x:f>'Assumptions'!$B$82</x:f>
        <x:v>0.07</x:v>
      </x:c>
      <x:c r="X32" s="38" t="n">
        <x:f>'Assumptions'!$B$82</x:f>
        <x:v>0.07</x:v>
      </x:c>
      <x:c r="Y32" s="38" t="n">
        <x:f>'Assumptions'!$B$82</x:f>
        <x:v>0.07</x:v>
      </x:c>
      <x:c r="Z32" s="38" t="n">
        <x:f>'Assumptions'!$B$82</x:f>
        <x:v>0.07</x:v>
      </x:c>
      <x:c r="AA32" s="38" t="n">
        <x:f>'Assumptions'!$B$82</x:f>
        <x:v>0.07</x:v>
      </x:c>
      <x:c r="AB32" s="38" t="n">
        <x:f>'Assumptions'!$B$82</x:f>
        <x:v>0.07</x:v>
      </x:c>
      <x:c r="AC32" s="38" t="n">
        <x:f>'Assumptions'!$B$82</x:f>
        <x:v>0.07</x:v>
      </x:c>
      <x:c r="AD32" s="38" t="n">
        <x:f>'Assumptions'!$B$82</x:f>
        <x:v>0.07</x:v>
      </x:c>
      <x:c r="AE32" s="38" t="n">
        <x:f>'Assumptions'!$B$82</x:f>
        <x:v>0.07</x:v>
      </x:c>
      <x:c r="AF32" s="38" t="n">
        <x:f>'Assumptions'!$B$82</x:f>
        <x:v>0.07</x:v>
      </x:c>
      <x:c r="AG32" s="38" t="n">
        <x:f>'Assumptions'!$B$82</x:f>
        <x:v>0.07</x:v>
      </x:c>
      <x:c r="AH32" s="38" t="n">
        <x:f>'Assumptions'!$B$82</x:f>
        <x:v>0.07</x:v>
      </x:c>
      <x:c r="AI32" s="38" t="n">
        <x:f>'Assumptions'!$B$82</x:f>
        <x:v>0.07</x:v>
      </x:c>
      <x:c r="AJ32" s="38" t="n">
        <x:f>'Assumptions'!$B$82</x:f>
        <x:v>0.07</x:v>
      </x:c>
      <x:c r="AK32" s="38" t="n">
        <x:f>'Assumptions'!$B$82</x:f>
        <x:v>0.07</x:v>
      </x:c>
      <x:c r="AL32" s="38" t="n">
        <x:f>'Assumptions'!$B$82</x:f>
        <x:v>0.07</x:v>
      </x:c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 t="str">
        <x:v>MITP min/employee, MDL</x:v>
      </x:c>
      <x:c r="B33" s="7"/>
      <x:c r="C33" s="34" t="n">
        <x:f>'Assumptions'!$B$83*'Assumptions'!$B$84</x:f>
        <x:v>5220</x:v>
      </x:c>
      <x:c r="D33" s="34" t="n">
        <x:f>'Assumptions'!$B$83*'Assumptions'!$B$84</x:f>
        <x:v>5220</x:v>
      </x:c>
      <x:c r="E33" s="34" t="n">
        <x:f>'Assumptions'!$B$83*'Assumptions'!$B$84</x:f>
        <x:v>5220</x:v>
      </x:c>
      <x:c r="F33" s="34" t="n">
        <x:f>'Assumptions'!$B$83*'Assumptions'!$B$84</x:f>
        <x:v>5220</x:v>
      </x:c>
      <x:c r="G33" s="34" t="n">
        <x:f>'Assumptions'!$B$83*'Assumptions'!$B$84</x:f>
        <x:v>5220</x:v>
      </x:c>
      <x:c r="H33" s="34" t="n">
        <x:f>'Assumptions'!$B$83*'Assumptions'!$B$84</x:f>
        <x:v>5220</x:v>
      </x:c>
      <x:c r="I33" s="34" t="n">
        <x:f>'Assumptions'!$B$83*'Assumptions'!$B$84</x:f>
        <x:v>5220</x:v>
      </x:c>
      <x:c r="J33" s="34" t="n">
        <x:f>'Assumptions'!$B$83*'Assumptions'!$B$84</x:f>
        <x:v>5220</x:v>
      </x:c>
      <x:c r="K33" s="34" t="n">
        <x:f>'Assumptions'!$B$83*'Assumptions'!$B$84</x:f>
        <x:v>5220</x:v>
      </x:c>
      <x:c r="L33" s="34" t="n">
        <x:f>'Assumptions'!$B$83*'Assumptions'!$B$84</x:f>
        <x:v>5220</x:v>
      </x:c>
      <x:c r="M33" s="34" t="n">
        <x:f>'Assumptions'!$B$83*'Assumptions'!$B$84</x:f>
        <x:v>5220</x:v>
      </x:c>
      <x:c r="N33" s="34" t="n">
        <x:f>'Assumptions'!$B$83*'Assumptions'!$B$84</x:f>
        <x:v>5220</x:v>
      </x:c>
      <x:c r="O33" s="34" t="n">
        <x:f>'Assumptions'!$B$83*'Assumptions'!$B$84</x:f>
        <x:v>5220</x:v>
      </x:c>
      <x:c r="P33" s="34" t="n">
        <x:f>'Assumptions'!$B$83*'Assumptions'!$B$84</x:f>
        <x:v>5220</x:v>
      </x:c>
      <x:c r="Q33" s="34" t="n">
        <x:f>'Assumptions'!$B$83*'Assumptions'!$B$84</x:f>
        <x:v>5220</x:v>
      </x:c>
      <x:c r="R33" s="34" t="n">
        <x:f>'Assumptions'!$B$83*'Assumptions'!$B$84</x:f>
        <x:v>5220</x:v>
      </x:c>
      <x:c r="S33" s="34" t="n">
        <x:f>'Assumptions'!$B$83*'Assumptions'!$B$84</x:f>
        <x:v>5220</x:v>
      </x:c>
      <x:c r="T33" s="34" t="n">
        <x:f>'Assumptions'!$B$83*'Assumptions'!$B$84</x:f>
        <x:v>5220</x:v>
      </x:c>
      <x:c r="U33" s="34" t="n">
        <x:f>'Assumptions'!$B$83*'Assumptions'!$B$84</x:f>
        <x:v>5220</x:v>
      </x:c>
      <x:c r="V33" s="34" t="n">
        <x:f>'Assumptions'!$B$83*'Assumptions'!$B$84</x:f>
        <x:v>5220</x:v>
      </x:c>
      <x:c r="W33" s="34" t="n">
        <x:f>'Assumptions'!$B$83*'Assumptions'!$B$84</x:f>
        <x:v>5220</x:v>
      </x:c>
      <x:c r="X33" s="34" t="n">
        <x:f>'Assumptions'!$B$83*'Assumptions'!$B$84</x:f>
        <x:v>5220</x:v>
      </x:c>
      <x:c r="Y33" s="34" t="n">
        <x:f>'Assumptions'!$B$83*'Assumptions'!$B$84</x:f>
        <x:v>5220</x:v>
      </x:c>
      <x:c r="Z33" s="34" t="n">
        <x:f>'Assumptions'!$B$83*'Assumptions'!$B$84</x:f>
        <x:v>5220</x:v>
      </x:c>
      <x:c r="AA33" s="34" t="n">
        <x:f>'Assumptions'!$B$83*'Assumptions'!$B$84</x:f>
        <x:v>5220</x:v>
      </x:c>
      <x:c r="AB33" s="34" t="n">
        <x:f>'Assumptions'!$B$83*'Assumptions'!$B$84</x:f>
        <x:v>5220</x:v>
      </x:c>
      <x:c r="AC33" s="34" t="n">
        <x:f>'Assumptions'!$B$83*'Assumptions'!$B$84</x:f>
        <x:v>5220</x:v>
      </x:c>
      <x:c r="AD33" s="34" t="n">
        <x:f>'Assumptions'!$B$83*'Assumptions'!$B$84</x:f>
        <x:v>5220</x:v>
      </x:c>
      <x:c r="AE33" s="34" t="n">
        <x:f>'Assumptions'!$B$83*'Assumptions'!$B$84</x:f>
        <x:v>5220</x:v>
      </x:c>
      <x:c r="AF33" s="34" t="n">
        <x:f>'Assumptions'!$B$83*'Assumptions'!$B$84</x:f>
        <x:v>5220</x:v>
      </x:c>
      <x:c r="AG33" s="34" t="n">
        <x:f>'Assumptions'!$B$83*'Assumptions'!$B$84</x:f>
        <x:v>5220</x:v>
      </x:c>
      <x:c r="AH33" s="34" t="n">
        <x:f>'Assumptions'!$B$83*'Assumptions'!$B$84</x:f>
        <x:v>5220</x:v>
      </x:c>
      <x:c r="AI33" s="34" t="n">
        <x:f>'Assumptions'!$B$83*'Assumptions'!$B$84</x:f>
        <x:v>5220</x:v>
      </x:c>
      <x:c r="AJ33" s="34" t="n">
        <x:f>'Assumptions'!$B$83*'Assumptions'!$B$84</x:f>
        <x:v>5220</x:v>
      </x:c>
      <x:c r="AK33" s="34" t="n">
        <x:f>'Assumptions'!$B$83*'Assumptions'!$B$84</x:f>
        <x:v>5220</x:v>
      </x:c>
      <x:c r="AL33" s="34" t="n">
        <x:f>'Assumptions'!$B$83*'Assumptions'!$B$84</x:f>
        <x:v>5220</x:v>
      </x:c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7" t="str">
        <x:v>Сотрудники, FTE</x:v>
      </x:c>
      <x:c r="B34" s="7"/>
      <x:c r="C34" s="62" t="n">
        <x:f>IF(C$4&lt;=12,'Assumptions'!$B$85,IF(C$4&lt;=24,'Assumptions'!$B$86,'Assumptions'!$B$87))</x:f>
        <x:v>1</x:v>
      </x:c>
      <x:c r="D34" s="62" t="n">
        <x:f>IF(D$4&lt;=12,'Assumptions'!$B$85,IF(D$4&lt;=24,'Assumptions'!$B$86,'Assumptions'!$B$87))</x:f>
        <x:v>1</x:v>
      </x:c>
      <x:c r="E34" s="62" t="n">
        <x:f>IF(E$4&lt;=12,'Assumptions'!$B$85,IF(E$4&lt;=24,'Assumptions'!$B$86,'Assumptions'!$B$87))</x:f>
        <x:v>1</x:v>
      </x:c>
      <x:c r="F34" s="62" t="n">
        <x:f>IF(F$4&lt;=12,'Assumptions'!$B$85,IF(F$4&lt;=24,'Assumptions'!$B$86,'Assumptions'!$B$87))</x:f>
        <x:v>1</x:v>
      </x:c>
      <x:c r="G34" s="62" t="n">
        <x:f>IF(G$4&lt;=12,'Assumptions'!$B$85,IF(G$4&lt;=24,'Assumptions'!$B$86,'Assumptions'!$B$87))</x:f>
        <x:v>1</x:v>
      </x:c>
      <x:c r="H34" s="62" t="n">
        <x:f>IF(H$4&lt;=12,'Assumptions'!$B$85,IF(H$4&lt;=24,'Assumptions'!$B$86,'Assumptions'!$B$87))</x:f>
        <x:v>1</x:v>
      </x:c>
      <x:c r="I34" s="62" t="n">
        <x:f>IF(I$4&lt;=12,'Assumptions'!$B$85,IF(I$4&lt;=24,'Assumptions'!$B$86,'Assumptions'!$B$87))</x:f>
        <x:v>1</x:v>
      </x:c>
      <x:c r="J34" s="62" t="n">
        <x:f>IF(J$4&lt;=12,'Assumptions'!$B$85,IF(J$4&lt;=24,'Assumptions'!$B$86,'Assumptions'!$B$87))</x:f>
        <x:v>1</x:v>
      </x:c>
      <x:c r="K34" s="62" t="n">
        <x:f>IF(K$4&lt;=12,'Assumptions'!$B$85,IF(K$4&lt;=24,'Assumptions'!$B$86,'Assumptions'!$B$87))</x:f>
        <x:v>1</x:v>
      </x:c>
      <x:c r="L34" s="62" t="n">
        <x:f>IF(L$4&lt;=12,'Assumptions'!$B$85,IF(L$4&lt;=24,'Assumptions'!$B$86,'Assumptions'!$B$87))</x:f>
        <x:v>1</x:v>
      </x:c>
      <x:c r="M34" s="62" t="n">
        <x:f>IF(M$4&lt;=12,'Assumptions'!$B$85,IF(M$4&lt;=24,'Assumptions'!$B$86,'Assumptions'!$B$87))</x:f>
        <x:v>1</x:v>
      </x:c>
      <x:c r="N34" s="62" t="n">
        <x:f>IF(N$4&lt;=12,'Assumptions'!$B$85,IF(N$4&lt;=24,'Assumptions'!$B$86,'Assumptions'!$B$87))</x:f>
        <x:v>1</x:v>
      </x:c>
      <x:c r="O34" s="62" t="n">
        <x:f>IF(O$4&lt;=12,'Assumptions'!$B$85,IF(O$4&lt;=24,'Assumptions'!$B$86,'Assumptions'!$B$87))</x:f>
        <x:v>2</x:v>
      </x:c>
      <x:c r="P34" s="62" t="n">
        <x:f>IF(P$4&lt;=12,'Assumptions'!$B$85,IF(P$4&lt;=24,'Assumptions'!$B$86,'Assumptions'!$B$87))</x:f>
        <x:v>2</x:v>
      </x:c>
      <x:c r="Q34" s="62" t="n">
        <x:f>IF(Q$4&lt;=12,'Assumptions'!$B$85,IF(Q$4&lt;=24,'Assumptions'!$B$86,'Assumptions'!$B$87))</x:f>
        <x:v>2</x:v>
      </x:c>
      <x:c r="R34" s="62" t="n">
        <x:f>IF(R$4&lt;=12,'Assumptions'!$B$85,IF(R$4&lt;=24,'Assumptions'!$B$86,'Assumptions'!$B$87))</x:f>
        <x:v>2</x:v>
      </x:c>
      <x:c r="S34" s="62" t="n">
        <x:f>IF(S$4&lt;=12,'Assumptions'!$B$85,IF(S$4&lt;=24,'Assumptions'!$B$86,'Assumptions'!$B$87))</x:f>
        <x:v>2</x:v>
      </x:c>
      <x:c r="T34" s="62" t="n">
        <x:f>IF(T$4&lt;=12,'Assumptions'!$B$85,IF(T$4&lt;=24,'Assumptions'!$B$86,'Assumptions'!$B$87))</x:f>
        <x:v>2</x:v>
      </x:c>
      <x:c r="U34" s="62" t="n">
        <x:f>IF(U$4&lt;=12,'Assumptions'!$B$85,IF(U$4&lt;=24,'Assumptions'!$B$86,'Assumptions'!$B$87))</x:f>
        <x:v>2</x:v>
      </x:c>
      <x:c r="V34" s="62" t="n">
        <x:f>IF(V$4&lt;=12,'Assumptions'!$B$85,IF(V$4&lt;=24,'Assumptions'!$B$86,'Assumptions'!$B$87))</x:f>
        <x:v>2</x:v>
      </x:c>
      <x:c r="W34" s="62" t="n">
        <x:f>IF(W$4&lt;=12,'Assumptions'!$B$85,IF(W$4&lt;=24,'Assumptions'!$B$86,'Assumptions'!$B$87))</x:f>
        <x:v>2</x:v>
      </x:c>
      <x:c r="X34" s="62" t="n">
        <x:f>IF(X$4&lt;=12,'Assumptions'!$B$85,IF(X$4&lt;=24,'Assumptions'!$B$86,'Assumptions'!$B$87))</x:f>
        <x:v>2</x:v>
      </x:c>
      <x:c r="Y34" s="62" t="n">
        <x:f>IF(Y$4&lt;=12,'Assumptions'!$B$85,IF(Y$4&lt;=24,'Assumptions'!$B$86,'Assumptions'!$B$87))</x:f>
        <x:v>2</x:v>
      </x:c>
      <x:c r="Z34" s="62" t="n">
        <x:f>IF(Z$4&lt;=12,'Assumptions'!$B$85,IF(Z$4&lt;=24,'Assumptions'!$B$86,'Assumptions'!$B$87))</x:f>
        <x:v>2</x:v>
      </x:c>
      <x:c r="AA34" s="62" t="n">
        <x:f>IF(AA$4&lt;=12,'Assumptions'!$B$85,IF(AA$4&lt;=24,'Assumptions'!$B$86,'Assumptions'!$B$87))</x:f>
        <x:v>4</x:v>
      </x:c>
      <x:c r="AB34" s="62" t="n">
        <x:f>IF(AB$4&lt;=12,'Assumptions'!$B$85,IF(AB$4&lt;=24,'Assumptions'!$B$86,'Assumptions'!$B$87))</x:f>
        <x:v>4</x:v>
      </x:c>
      <x:c r="AC34" s="62" t="n">
        <x:f>IF(AC$4&lt;=12,'Assumptions'!$B$85,IF(AC$4&lt;=24,'Assumptions'!$B$86,'Assumptions'!$B$87))</x:f>
        <x:v>4</x:v>
      </x:c>
      <x:c r="AD34" s="62" t="n">
        <x:f>IF(AD$4&lt;=12,'Assumptions'!$B$85,IF(AD$4&lt;=24,'Assumptions'!$B$86,'Assumptions'!$B$87))</x:f>
        <x:v>4</x:v>
      </x:c>
      <x:c r="AE34" s="62" t="n">
        <x:f>IF(AE$4&lt;=12,'Assumptions'!$B$85,IF(AE$4&lt;=24,'Assumptions'!$B$86,'Assumptions'!$B$87))</x:f>
        <x:v>4</x:v>
      </x:c>
      <x:c r="AF34" s="62" t="n">
        <x:f>IF(AF$4&lt;=12,'Assumptions'!$B$85,IF(AF$4&lt;=24,'Assumptions'!$B$86,'Assumptions'!$B$87))</x:f>
        <x:v>4</x:v>
      </x:c>
      <x:c r="AG34" s="62" t="n">
        <x:f>IF(AG$4&lt;=12,'Assumptions'!$B$85,IF(AG$4&lt;=24,'Assumptions'!$B$86,'Assumptions'!$B$87))</x:f>
        <x:v>4</x:v>
      </x:c>
      <x:c r="AH34" s="62" t="n">
        <x:f>IF(AH$4&lt;=12,'Assumptions'!$B$85,IF(AH$4&lt;=24,'Assumptions'!$B$86,'Assumptions'!$B$87))</x:f>
        <x:v>4</x:v>
      </x:c>
      <x:c r="AI34" s="62" t="n">
        <x:f>IF(AI$4&lt;=12,'Assumptions'!$B$85,IF(AI$4&lt;=24,'Assumptions'!$B$86,'Assumptions'!$B$87))</x:f>
        <x:v>4</x:v>
      </x:c>
      <x:c r="AJ34" s="62" t="n">
        <x:f>IF(AJ$4&lt;=12,'Assumptions'!$B$85,IF(AJ$4&lt;=24,'Assumptions'!$B$86,'Assumptions'!$B$87))</x:f>
        <x:v>4</x:v>
      </x:c>
      <x:c r="AK34" s="62" t="n">
        <x:f>IF(AK$4&lt;=12,'Assumptions'!$B$85,IF(AK$4&lt;=24,'Assumptions'!$B$86,'Assumptions'!$B$87))</x:f>
        <x:v>4</x:v>
      </x:c>
      <x:c r="AL34" s="62" t="n">
        <x:f>IF(AL$4&lt;=12,'Assumptions'!$B$85,IF(AL$4&lt;=24,'Assumptions'!$B$86,'Assumptions'!$B$87))</x:f>
        <x:v>4</x:v>
      </x:c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7" t="str">
        <x:v>Оценка налога, MDL</x:v>
      </x:c>
      <x:c r="B35" s="7"/>
      <x:c r="C35" s="34" t="n">
        <x:f>IF('Assumptions'!$B$6="MITP estimate",MAX(C18*C32,C34*C33),0)</x:f>
        <x:v>0</x:v>
      </x:c>
      <x:c r="D35" s="34" t="n">
        <x:f>IF('Assumptions'!$B$6="MITP estimate",MAX(D18*D32,D34*D33),0)</x:f>
        <x:v>0</x:v>
      </x:c>
      <x:c r="E35" s="34" t="n">
        <x:f>IF('Assumptions'!$B$6="MITP estimate",MAX(E18*E32,E34*E33),0)</x:f>
        <x:v>0</x:v>
      </x:c>
      <x:c r="F35" s="34" t="n">
        <x:f>IF('Assumptions'!$B$6="MITP estimate",MAX(F18*F32,F34*F33),0)</x:f>
        <x:v>0</x:v>
      </x:c>
      <x:c r="G35" s="34" t="n">
        <x:f>IF('Assumptions'!$B$6="MITP estimate",MAX(G18*G32,G34*G33),0)</x:f>
        <x:v>0</x:v>
      </x:c>
      <x:c r="H35" s="34" t="n">
        <x:f>IF('Assumptions'!$B$6="MITP estimate",MAX(H18*H32,H34*H33),0)</x:f>
        <x:v>0</x:v>
      </x:c>
      <x:c r="I35" s="34" t="n">
        <x:f>IF('Assumptions'!$B$6="MITP estimate",MAX(I18*I32,I34*I33),0)</x:f>
        <x:v>0</x:v>
      </x:c>
      <x:c r="J35" s="34" t="n">
        <x:f>IF('Assumptions'!$B$6="MITP estimate",MAX(J18*J32,J34*J33),0)</x:f>
        <x:v>0</x:v>
      </x:c>
      <x:c r="K35" s="34" t="n">
        <x:f>IF('Assumptions'!$B$6="MITP estimate",MAX(K18*K32,K34*K33),0)</x:f>
        <x:v>0</x:v>
      </x:c>
      <x:c r="L35" s="34" t="n">
        <x:f>IF('Assumptions'!$B$6="MITP estimate",MAX(L18*L32,L34*L33),0)</x:f>
        <x:v>0</x:v>
      </x:c>
      <x:c r="M35" s="34" t="n">
        <x:f>IF('Assumptions'!$B$6="MITP estimate",MAX(M18*M32,M34*M33),0)</x:f>
        <x:v>0</x:v>
      </x:c>
      <x:c r="N35" s="34" t="n">
        <x:f>IF('Assumptions'!$B$6="MITP estimate",MAX(N18*N32,N34*N33),0)</x:f>
        <x:v>0</x:v>
      </x:c>
      <x:c r="O35" s="34" t="n">
        <x:f>IF('Assumptions'!$B$6="MITP estimate",MAX(O18*O32,O34*O33),0)</x:f>
        <x:v>0</x:v>
      </x:c>
      <x:c r="P35" s="34" t="n">
        <x:f>IF('Assumptions'!$B$6="MITP estimate",MAX(P18*P32,P34*P33),0)</x:f>
        <x:v>0</x:v>
      </x:c>
      <x:c r="Q35" s="34" t="n">
        <x:f>IF('Assumptions'!$B$6="MITP estimate",MAX(Q18*Q32,Q34*Q33),0)</x:f>
        <x:v>0</x:v>
      </x:c>
      <x:c r="R35" s="34" t="n">
        <x:f>IF('Assumptions'!$B$6="MITP estimate",MAX(R18*R32,R34*R33),0)</x:f>
        <x:v>0</x:v>
      </x:c>
      <x:c r="S35" s="34" t="n">
        <x:f>IF('Assumptions'!$B$6="MITP estimate",MAX(S18*S32,S34*S33),0)</x:f>
        <x:v>0</x:v>
      </x:c>
      <x:c r="T35" s="34" t="n">
        <x:f>IF('Assumptions'!$B$6="MITP estimate",MAX(T18*T32,T34*T33),0)</x:f>
        <x:v>0</x:v>
      </x:c>
      <x:c r="U35" s="34" t="n">
        <x:f>IF('Assumptions'!$B$6="MITP estimate",MAX(U18*U32,U34*U33),0)</x:f>
        <x:v>0</x:v>
      </x:c>
      <x:c r="V35" s="34" t="n">
        <x:f>IF('Assumptions'!$B$6="MITP estimate",MAX(V18*V32,V34*V33),0)</x:f>
        <x:v>0</x:v>
      </x:c>
      <x:c r="W35" s="34" t="n">
        <x:f>IF('Assumptions'!$B$6="MITP estimate",MAX(W18*W32,W34*W33),0)</x:f>
        <x:v>0</x:v>
      </x:c>
      <x:c r="X35" s="34" t="n">
        <x:f>IF('Assumptions'!$B$6="MITP estimate",MAX(X18*X32,X34*X33),0)</x:f>
        <x:v>0</x:v>
      </x:c>
      <x:c r="Y35" s="34" t="n">
        <x:f>IF('Assumptions'!$B$6="MITP estimate",MAX(Y18*Y32,Y34*Y33),0)</x:f>
        <x:v>0</x:v>
      </x:c>
      <x:c r="Z35" s="34" t="n">
        <x:f>IF('Assumptions'!$B$6="MITP estimate",MAX(Z18*Z32,Z34*Z33),0)</x:f>
        <x:v>0</x:v>
      </x:c>
      <x:c r="AA35" s="34" t="n">
        <x:f>IF('Assumptions'!$B$6="MITP estimate",MAX(AA18*AA32,AA34*AA33),0)</x:f>
        <x:v>0</x:v>
      </x:c>
      <x:c r="AB35" s="34" t="n">
        <x:f>IF('Assumptions'!$B$6="MITP estimate",MAX(AB18*AB32,AB34*AB33),0)</x:f>
        <x:v>0</x:v>
      </x:c>
      <x:c r="AC35" s="34" t="n">
        <x:f>IF('Assumptions'!$B$6="MITP estimate",MAX(AC18*AC32,AC34*AC33),0)</x:f>
        <x:v>0</x:v>
      </x:c>
      <x:c r="AD35" s="34" t="n">
        <x:f>IF('Assumptions'!$B$6="MITP estimate",MAX(AD18*AD32,AD34*AD33),0)</x:f>
        <x:v>0</x:v>
      </x:c>
      <x:c r="AE35" s="34" t="n">
        <x:f>IF('Assumptions'!$B$6="MITP estimate",MAX(AE18*AE32,AE34*AE33),0)</x:f>
        <x:v>0</x:v>
      </x:c>
      <x:c r="AF35" s="34" t="n">
        <x:f>IF('Assumptions'!$B$6="MITP estimate",MAX(AF18*AF32,AF34*AF33),0)</x:f>
        <x:v>0</x:v>
      </x:c>
      <x:c r="AG35" s="34" t="n">
        <x:f>IF('Assumptions'!$B$6="MITP estimate",MAX(AG18*AG32,AG34*AG33),0)</x:f>
        <x:v>0</x:v>
      </x:c>
      <x:c r="AH35" s="34" t="n">
        <x:f>IF('Assumptions'!$B$6="MITP estimate",MAX(AH18*AH32,AH34*AH33),0)</x:f>
        <x:v>0</x:v>
      </x:c>
      <x:c r="AI35" s="34" t="n">
        <x:f>IF('Assumptions'!$B$6="MITP estimate",MAX(AI18*AI32,AI34*AI33),0)</x:f>
        <x:v>0</x:v>
      </x:c>
      <x:c r="AJ35" s="34" t="n">
        <x:f>IF('Assumptions'!$B$6="MITP estimate",MAX(AJ18*AJ32,AJ34*AJ33),0)</x:f>
        <x:v>0</x:v>
      </x:c>
      <x:c r="AK35" s="34" t="n">
        <x:f>IF('Assumptions'!$B$6="MITP estimate",MAX(AK18*AK32,AK34*AK33),0)</x:f>
        <x:v>0</x:v>
      </x:c>
      <x:c r="AL35" s="34" t="n">
        <x:f>IF('Assumptions'!$B$6="MITP estimate",MAX(AL18*AL32,AL34*AL33),0)</x:f>
        <x:v>0</x:v>
      </x:c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36" t="str">
        <x:v>Операционный результат после налога</x:v>
      </x:c>
      <x:c r="B36" s="36"/>
      <x:c r="C36" s="37" t="n">
        <x:f>C29-C35</x:f>
        <x:v>-35238.0425</x:v>
      </x:c>
      <x:c r="D36" s="37" t="n">
        <x:f>D29-D35</x:f>
        <x:v>-33479.901225</x:v>
      </x:c>
      <x:c r="E36" s="37" t="n">
        <x:f>E29-E35</x:f>
        <x:v>-31774.50418825</x:v>
      </x:c>
      <x:c r="F36" s="37" t="n">
        <x:f>F29-F35</x:f>
        <x:v>-30120.2690626025</x:v>
      </x:c>
      <x:c r="G36" s="37" t="n">
        <x:f>G29-G35</x:f>
        <x:v>-28515.660990724424</x:v>
      </x:c>
      <x:c r="H36" s="37" t="n">
        <x:f>H29-H35</x:f>
        <x:v>-26959.191161002695</x:v>
      </x:c>
      <x:c r="I36" s="37" t="n">
        <x:f>I29-I35</x:f>
        <x:v>-24536.41542617261</x:v>
      </x:c>
      <x:c r="J36" s="37" t="n">
        <x:f>J29-J35</x:f>
        <x:v>-21273.32296338743</x:v>
      </x:c>
      <x:c r="K36" s="37" t="n">
        <x:f>K29-K35</x:f>
        <x:v>-18108.123274485806</x:v>
      </x:c>
      <x:c r="L36" s="37" t="n">
        <x:f>L29-L35</x:f>
        <x:v>-15037.87957625123</x:v>
      </x:c>
      <x:c r="M36" s="37" t="n">
        <x:f>M29-M35</x:f>
        <x:v>-12059.743188963697</x:v>
      </x:c>
      <x:c r="N36" s="37" t="n">
        <x:f>N29-N35</x:f>
        <x:v>-9170.950893294787</x:v>
      </x:c>
      <x:c r="O36" s="37" t="n">
        <x:f>O29-O35</x:f>
        <x:v>-34835.81869110407</x:v>
      </x:c>
      <x:c r="P36" s="37" t="n">
        <x:f>P29-P35</x:f>
        <x:v>-26648.244130370942</x:v>
      </x:c>
      <x:c r="Q36" s="37" t="n">
        <x:f>Q29-Q35</x:f>
        <x:v>-18706.29680645981</x:v>
      </x:c>
      <x:c r="R36" s="37" t="n">
        <x:f>R29-R35</x:f>
        <x:v>-11002.60790226602</x:v>
      </x:c>
      <x:c r="S36" s="37" t="n">
        <x:f>S29-S35</x:f>
        <x:v>-3530.0296651980316</x:v>
      </x:c>
      <x:c r="T36" s="37" t="n">
        <x:f>T29-T35</x:f>
        <x:v>3718.3712247579097</x:v>
      </x:c>
      <x:c r="U36" s="37" t="n">
        <x:f>U29-U35</x:f>
        <x:v>10749.320088015185</x:v>
      </x:c>
      <x:c r="V36" s="37" t="n">
        <x:f>V29-V35</x:f>
        <x:v>17569.34048537472</x:v>
      </x:c>
      <x:c r="W36" s="37" t="n">
        <x:f>W29-W35</x:f>
        <x:v>24184.760270813465</x:v>
      </x:c>
      <x:c r="X36" s="37" t="n">
        <x:f>X29-X35</x:f>
        <x:v>30601.717462689063</x:v>
      </x:c>
      <x:c r="Y36" s="37" t="n">
        <x:f>Y29-Y35</x:f>
        <x:v>36826.16593880841</x:v>
      </x:c>
      <x:c r="Z36" s="37" t="n">
        <x:f>Z29-Z35</x:f>
        <x:v>42863.880960644135</x:v>
      </x:c>
      <x:c r="AA36" s="37" t="n">
        <x:f>AA29-AA35</x:f>
        <x:v>-15137.821195124561</x:v>
      </x:c>
      <x:c r="AB36" s="37" t="n">
        <x:f>AB29-AB35</x:f>
        <x:v>5471.313440729165</x:v>
      </x:c>
      <x:c r="AC36" s="37" t="n">
        <x:f>AC29-AC35</x:f>
        <x:v>25462.17403750727</x:v>
      </x:c>
      <x:c r="AD36" s="37" t="n">
        <x:f>AD29-AD35</x:f>
        <x:v>44853.30881638205</x:v>
      </x:c>
      <x:c r="AE36" s="37" t="n">
        <x:f>AE29-AE35</x:f>
        <x:v>63662.70955189064</x:v>
      </x:c>
      <x:c r="AF36" s="37" t="n">
        <x:f>AF29-AF35</x:f>
        <x:v>81907.82826533384</x:v>
      </x:c>
      <x:c r="AG36" s="37" t="n">
        <x:f>AG29-AG35</x:f>
        <x:v>99605.59341737386</x:v>
      </x:c>
      <x:c r="AH36" s="37" t="n">
        <x:f>AH29-AH35</x:f>
        <x:v>116772.42561485266</x:v>
      </x:c>
      <x:c r="AI36" s="37" t="n">
        <x:f>AI29-AI35</x:f>
        <x:v>133424.2528464071</x:v>
      </x:c>
      <x:c r="AJ36" s="37" t="n">
        <x:f>AJ29-AJ35</x:f>
        <x:v>149576.5252610148</x:v>
      </x:c>
      <x:c r="AK36" s="37" t="n">
        <x:f>AK29-AK35</x:f>
        <x:v>165244.22950318435</x:v>
      </x:c>
      <x:c r="AL36" s="37" t="n">
        <x:f>AL29-AL35</x:f>
        <x:v>180441.9026180888</x:v>
      </x:c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8" t="str">
        <x:v>Разовые стартовые расходы</x:v>
      </x:c>
      <x:c r="B37" s="8"/>
      <x:c r="C37" s="35" t="n">
        <x:f>'Assumptions'!$B$37</x:f>
        <x:v>30000</x:v>
      </x:c>
      <x:c r="D37" s="35" t="n">
        <x:f>0</x:f>
        <x:v>0</x:v>
      </x:c>
      <x:c r="E37" s="35" t="n">
        <x:f>0</x:f>
        <x:v>0</x:v>
      </x:c>
      <x:c r="F37" s="35" t="n">
        <x:f>0</x:f>
        <x:v>0</x:v>
      </x:c>
      <x:c r="G37" s="35" t="n">
        <x:f>0</x:f>
        <x:v>0</x:v>
      </x:c>
      <x:c r="H37" s="35" t="n">
        <x:f>0</x:f>
        <x:v>0</x:v>
      </x:c>
      <x:c r="I37" s="35" t="n">
        <x:f>0</x:f>
        <x:v>0</x:v>
      </x:c>
      <x:c r="J37" s="35" t="n">
        <x:f>0</x:f>
        <x:v>0</x:v>
      </x:c>
      <x:c r="K37" s="35" t="n">
        <x:f>0</x:f>
        <x:v>0</x:v>
      </x:c>
      <x:c r="L37" s="35" t="n">
        <x:f>0</x:f>
        <x:v>0</x:v>
      </x:c>
      <x:c r="M37" s="35" t="n">
        <x:f>0</x:f>
        <x:v>0</x:v>
      </x:c>
      <x:c r="N37" s="35" t="n">
        <x:f>0</x:f>
        <x:v>0</x:v>
      </x:c>
      <x:c r="O37" s="35" t="n">
        <x:f>0</x:f>
        <x:v>0</x:v>
      </x:c>
      <x:c r="P37" s="35" t="n">
        <x:f>0</x:f>
        <x:v>0</x:v>
      </x:c>
      <x:c r="Q37" s="35" t="n">
        <x:f>0</x:f>
        <x:v>0</x:v>
      </x:c>
      <x:c r="R37" s="35" t="n">
        <x:f>0</x:f>
        <x:v>0</x:v>
      </x:c>
      <x:c r="S37" s="35" t="n">
        <x:f>0</x:f>
        <x:v>0</x:v>
      </x:c>
      <x:c r="T37" s="35" t="n">
        <x:f>0</x:f>
        <x:v>0</x:v>
      </x:c>
      <x:c r="U37" s="35" t="n">
        <x:f>0</x:f>
        <x:v>0</x:v>
      </x:c>
      <x:c r="V37" s="35" t="n">
        <x:f>0</x:f>
        <x:v>0</x:v>
      </x:c>
      <x:c r="W37" s="35" t="n">
        <x:f>0</x:f>
        <x:v>0</x:v>
      </x:c>
      <x:c r="X37" s="35" t="n">
        <x:f>0</x:f>
        <x:v>0</x:v>
      </x:c>
      <x:c r="Y37" s="35" t="n">
        <x:f>0</x:f>
        <x:v>0</x:v>
      </x:c>
      <x:c r="Z37" s="35" t="n">
        <x:f>0</x:f>
        <x:v>0</x:v>
      </x:c>
      <x:c r="AA37" s="35" t="n">
        <x:f>0</x:f>
        <x:v>0</x:v>
      </x:c>
      <x:c r="AB37" s="35" t="n">
        <x:f>0</x:f>
        <x:v>0</x:v>
      </x:c>
      <x:c r="AC37" s="35" t="n">
        <x:f>0</x:f>
        <x:v>0</x:v>
      </x:c>
      <x:c r="AD37" s="35" t="n">
        <x:f>0</x:f>
        <x:v>0</x:v>
      </x:c>
      <x:c r="AE37" s="35" t="n">
        <x:f>0</x:f>
        <x:v>0</x:v>
      </x:c>
      <x:c r="AF37" s="35" t="n">
        <x:f>0</x:f>
        <x:v>0</x:v>
      </x:c>
      <x:c r="AG37" s="35" t="n">
        <x:f>0</x:f>
        <x:v>0</x:v>
      </x:c>
      <x:c r="AH37" s="35" t="n">
        <x:f>0</x:f>
        <x:v>0</x:v>
      </x:c>
      <x:c r="AI37" s="35" t="n">
        <x:f>0</x:f>
        <x:v>0</x:v>
      </x:c>
      <x:c r="AJ37" s="35" t="n">
        <x:f>0</x:f>
        <x:v>0</x:v>
      </x:c>
      <x:c r="AK37" s="35" t="n">
        <x:f>0</x:f>
        <x:v>0</x:v>
      </x:c>
      <x:c r="AL37" s="35" t="n">
        <x:f>0</x:f>
        <x:v>0</x:v>
      </x:c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8" t="str">
        <x:v>Чистый денежный поток</x:v>
      </x:c>
      <x:c r="B38" s="8"/>
      <x:c r="C38" s="35" t="n">
        <x:f>C36-C37</x:f>
        <x:v>-65238.0425</x:v>
      </x:c>
      <x:c r="D38" s="35" t="n">
        <x:f>D36-D37</x:f>
        <x:v>-33479.901225</x:v>
      </x:c>
      <x:c r="E38" s="35" t="n">
        <x:f>E36-E37</x:f>
        <x:v>-31774.50418825</x:v>
      </x:c>
      <x:c r="F38" s="35" t="n">
        <x:f>F36-F37</x:f>
        <x:v>-30120.2690626025</x:v>
      </x:c>
      <x:c r="G38" s="35" t="n">
        <x:f>G36-G37</x:f>
        <x:v>-28515.660990724424</x:v>
      </x:c>
      <x:c r="H38" s="35" t="n">
        <x:f>H36-H37</x:f>
        <x:v>-26959.191161002695</x:v>
      </x:c>
      <x:c r="I38" s="35" t="n">
        <x:f>I36-I37</x:f>
        <x:v>-24536.41542617261</x:v>
      </x:c>
      <x:c r="J38" s="35" t="n">
        <x:f>J36-J37</x:f>
        <x:v>-21273.32296338743</x:v>
      </x:c>
      <x:c r="K38" s="35" t="n">
        <x:f>K36-K37</x:f>
        <x:v>-18108.123274485806</x:v>
      </x:c>
      <x:c r="L38" s="35" t="n">
        <x:f>L36-L37</x:f>
        <x:v>-15037.87957625123</x:v>
      </x:c>
      <x:c r="M38" s="35" t="n">
        <x:f>M36-M37</x:f>
        <x:v>-12059.743188963697</x:v>
      </x:c>
      <x:c r="N38" s="35" t="n">
        <x:f>N36-N37</x:f>
        <x:v>-9170.950893294787</x:v>
      </x:c>
      <x:c r="O38" s="35" t="n">
        <x:f>O36-O37</x:f>
        <x:v>-34835.81869110407</x:v>
      </x:c>
      <x:c r="P38" s="35" t="n">
        <x:f>P36-P37</x:f>
        <x:v>-26648.244130370942</x:v>
      </x:c>
      <x:c r="Q38" s="35" t="n">
        <x:f>Q36-Q37</x:f>
        <x:v>-18706.29680645981</x:v>
      </x:c>
      <x:c r="R38" s="35" t="n">
        <x:f>R36-R37</x:f>
        <x:v>-11002.60790226602</x:v>
      </x:c>
      <x:c r="S38" s="35" t="n">
        <x:f>S36-S37</x:f>
        <x:v>-3530.0296651980316</x:v>
      </x:c>
      <x:c r="T38" s="35" t="n">
        <x:f>T36-T37</x:f>
        <x:v>3718.3712247579097</x:v>
      </x:c>
      <x:c r="U38" s="35" t="n">
        <x:f>U36-U37</x:f>
        <x:v>10749.320088015185</x:v>
      </x:c>
      <x:c r="V38" s="35" t="n">
        <x:f>V36-V37</x:f>
        <x:v>17569.34048537472</x:v>
      </x:c>
      <x:c r="W38" s="35" t="n">
        <x:f>W36-W37</x:f>
        <x:v>24184.760270813465</x:v>
      </x:c>
      <x:c r="X38" s="35" t="n">
        <x:f>X36-X37</x:f>
        <x:v>30601.717462689063</x:v>
      </x:c>
      <x:c r="Y38" s="35" t="n">
        <x:f>Y36-Y37</x:f>
        <x:v>36826.16593880841</x:v>
      </x:c>
      <x:c r="Z38" s="35" t="n">
        <x:f>Z36-Z37</x:f>
        <x:v>42863.880960644135</x:v>
      </x:c>
      <x:c r="AA38" s="35" t="n">
        <x:f>AA36-AA37</x:f>
        <x:v>-15137.821195124561</x:v>
      </x:c>
      <x:c r="AB38" s="35" t="n">
        <x:f>AB36-AB37</x:f>
        <x:v>5471.313440729165</x:v>
      </x:c>
      <x:c r="AC38" s="35" t="n">
        <x:f>AC36-AC37</x:f>
        <x:v>25462.17403750727</x:v>
      </x:c>
      <x:c r="AD38" s="35" t="n">
        <x:f>AD36-AD37</x:f>
        <x:v>44853.30881638205</x:v>
      </x:c>
      <x:c r="AE38" s="35" t="n">
        <x:f>AE36-AE37</x:f>
        <x:v>63662.70955189064</x:v>
      </x:c>
      <x:c r="AF38" s="35" t="n">
        <x:f>AF36-AF37</x:f>
        <x:v>81907.82826533384</x:v>
      </x:c>
      <x:c r="AG38" s="35" t="n">
        <x:f>AG36-AG37</x:f>
        <x:v>99605.59341737386</x:v>
      </x:c>
      <x:c r="AH38" s="35" t="n">
        <x:f>AH36-AH37</x:f>
        <x:v>116772.42561485266</x:v>
      </x:c>
      <x:c r="AI38" s="35" t="n">
        <x:f>AI36-AI37</x:f>
        <x:v>133424.2528464071</x:v>
      </x:c>
      <x:c r="AJ38" s="35" t="n">
        <x:f>AJ36-AJ37</x:f>
        <x:v>149576.5252610148</x:v>
      </x:c>
      <x:c r="AK38" s="35" t="n">
        <x:f>AK36-AK37</x:f>
        <x:v>165244.22950318435</x:v>
      </x:c>
      <x:c r="AL38" s="35" t="n">
        <x:f>AL36-AL37</x:f>
        <x:v>180441.9026180888</x:v>
      </x:c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8" t="str">
        <x:v>Денежный остаток</x:v>
      </x:c>
      <x:c r="B39" s="8"/>
      <x:c r="C39" s="35" t="n">
        <x:f>'Assumptions'!$B$36+C38</x:f>
        <x:v>334761.9575</x:v>
      </x:c>
      <x:c r="D39" s="35" t="n">
        <x:f>C39+D38</x:f>
        <x:v>301282.05627500004</x:v>
      </x:c>
      <x:c r="E39" s="35" t="n">
        <x:f>D39+E38</x:f>
        <x:v>269507.55208675005</x:v>
      </x:c>
      <x:c r="F39" s="35" t="n">
        <x:f>E39+F38</x:f>
        <x:v>239387.28302414756</x:v>
      </x:c>
      <x:c r="G39" s="35" t="n">
        <x:f>F39+G38</x:f>
        <x:v>210871.62203342313</x:v>
      </x:c>
      <x:c r="H39" s="35" t="n">
        <x:f>G39+H38</x:f>
        <x:v>183912.43087242043</x:v>
      </x:c>
      <x:c r="I39" s="35" t="n">
        <x:f>H39+I38</x:f>
        <x:v>159376.01544624782</x:v>
      </x:c>
      <x:c r="J39" s="35" t="n">
        <x:f>I39+J38</x:f>
        <x:v>138102.6924828604</x:v>
      </x:c>
      <x:c r="K39" s="35" t="n">
        <x:f>J39+K38</x:f>
        <x:v>119994.5692083746</x:v>
      </x:c>
      <x:c r="L39" s="35" t="n">
        <x:f>K39+L38</x:f>
        <x:v>104956.68963212337</x:v>
      </x:c>
      <x:c r="M39" s="35" t="n">
        <x:f>L39+M38</x:f>
        <x:v>92896.94644315967</x:v>
      </x:c>
      <x:c r="N39" s="35" t="n">
        <x:f>M39+N38</x:f>
        <x:v>83725.99554986489</x:v>
      </x:c>
      <x:c r="O39" s="35" t="n">
        <x:f>N39+O38</x:f>
        <x:v>48890.176858760824</x:v>
      </x:c>
      <x:c r="P39" s="35" t="n">
        <x:f>O39+P38</x:f>
        <x:v>22241.932728389882</x:v>
      </x:c>
      <x:c r="Q39" s="35" t="n">
        <x:f>P39+Q38</x:f>
        <x:v>3535.635921930072</x:v>
      </x:c>
      <x:c r="R39" s="35" t="n">
        <x:f>Q39+R38</x:f>
        <x:v>-7466.971980335948</x:v>
      </x:c>
      <x:c r="S39" s="35" t="n">
        <x:f>R39+S38</x:f>
        <x:v>-10997.00164553398</x:v>
      </x:c>
      <x:c r="T39" s="35" t="n">
        <x:f>S39+T38</x:f>
        <x:v>-7278.6304207760695</x:v>
      </x:c>
      <x:c r="U39" s="35" t="n">
        <x:f>T39+U38</x:f>
        <x:v>3470.689667239116</x:v>
      </x:c>
      <x:c r="V39" s="35" t="n">
        <x:f>U39+V38</x:f>
        <x:v>21040.030152613836</x:v>
      </x:c>
      <x:c r="W39" s="35" t="n">
        <x:f>V39+W38</x:f>
        <x:v>45224.7904234273</x:v>
      </x:c>
      <x:c r="X39" s="35" t="n">
        <x:f>W39+X38</x:f>
        <x:v>75826.50788611636</x:v>
      </x:c>
      <x:c r="Y39" s="35" t="n">
        <x:f>X39+Y38</x:f>
        <x:v>112652.67382492477</x:v>
      </x:c>
      <x:c r="Z39" s="35" t="n">
        <x:f>Y39+Z38</x:f>
        <x:v>155516.5547855689</x:v>
      </x:c>
      <x:c r="AA39" s="35" t="n">
        <x:f>Z39+AA38</x:f>
        <x:v>140378.73359044435</x:v>
      </x:c>
      <x:c r="AB39" s="35" t="n">
        <x:f>AA39+AB38</x:f>
        <x:v>145850.0470311735</x:v>
      </x:c>
      <x:c r="AC39" s="35" t="n">
        <x:f>AB39+AC38</x:f>
        <x:v>171312.22106868078</x:v>
      </x:c>
      <x:c r="AD39" s="35" t="n">
        <x:f>AC39+AD38</x:f>
        <x:v>216165.52988506283</x:v>
      </x:c>
      <x:c r="AE39" s="35" t="n">
        <x:f>AD39+AE38</x:f>
        <x:v>279828.23943695344</x:v>
      </x:c>
      <x:c r="AF39" s="35" t="n">
        <x:f>AE39+AF38</x:f>
        <x:v>361736.0677022873</x:v>
      </x:c>
      <x:c r="AG39" s="35" t="n">
        <x:f>AF39+AG38</x:f>
        <x:v>461341.6611196612</x:v>
      </x:c>
      <x:c r="AH39" s="35" t="n">
        <x:f>AG39+AH38</x:f>
        <x:v>578114.0867345139</x:v>
      </x:c>
      <x:c r="AI39" s="35" t="n">
        <x:f>AH39+AI38</x:f>
        <x:v>711538.339580921</x:v>
      </x:c>
      <x:c r="AJ39" s="35" t="n">
        <x:f>AI39+AJ38</x:f>
        <x:v>861114.8648419358</x:v>
      </x:c>
      <x:c r="AK39" s="35" t="n">
        <x:f>AJ39+AK38</x:f>
        <x:v>1026359.0943451201</x:v>
      </x:c>
      <x:c r="AL39" s="35" t="n">
        <x:f>AK39+AL38</x:f>
        <x:v>1206800.996963209</x:v>
      </x:c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8" t="str">
        <x:v>Первый прибыльный месяц (marker)</x:v>
      </x:c>
      <x:c r="B40" s="8"/>
      <x:c r="C40" s="35" t="n">
        <x:f>IF(C29&gt;0,1,0)</x:f>
        <x:v>0</x:v>
      </x:c>
      <x:c r="D40" s="35" t="n">
        <x:f>IF(AND(D29&gt;0,SUM($C40:C40)=0),D$4,0)</x:f>
        <x:v>0</x:v>
      </x:c>
      <x:c r="E40" s="35" t="n">
        <x:f>IF(AND(E29&gt;0,SUM($C40:D40)=0),E$4,0)</x:f>
        <x:v>0</x:v>
      </x:c>
      <x:c r="F40" s="35" t="n">
        <x:f>IF(AND(F29&gt;0,SUM($C40:E40)=0),F$4,0)</x:f>
        <x:v>0</x:v>
      </x:c>
      <x:c r="G40" s="35" t="n">
        <x:f>IF(AND(G29&gt;0,SUM($C40:F40)=0),G$4,0)</x:f>
        <x:v>0</x:v>
      </x:c>
      <x:c r="H40" s="35" t="n">
        <x:f>IF(AND(H29&gt;0,SUM($C40:G40)=0),H$4,0)</x:f>
        <x:v>0</x:v>
      </x:c>
      <x:c r="I40" s="35" t="n">
        <x:f>IF(AND(I29&gt;0,SUM($C40:H40)=0),I$4,0)</x:f>
        <x:v>0</x:v>
      </x:c>
      <x:c r="J40" s="35" t="n">
        <x:f>IF(AND(J29&gt;0,SUM($C40:I40)=0),J$4,0)</x:f>
        <x:v>0</x:v>
      </x:c>
      <x:c r="K40" s="35" t="n">
        <x:f>IF(AND(K29&gt;0,SUM($C40:J40)=0),K$4,0)</x:f>
        <x:v>0</x:v>
      </x:c>
      <x:c r="L40" s="35" t="n">
        <x:f>IF(AND(L29&gt;0,SUM($C40:K40)=0),L$4,0)</x:f>
        <x:v>0</x:v>
      </x:c>
      <x:c r="M40" s="35" t="n">
        <x:f>IF(AND(M29&gt;0,SUM($C40:L40)=0),M$4,0)</x:f>
        <x:v>0</x:v>
      </x:c>
      <x:c r="N40" s="35" t="n">
        <x:f>IF(AND(N29&gt;0,SUM($C40:M40)=0),N$4,0)</x:f>
        <x:v>0</x:v>
      </x:c>
      <x:c r="O40" s="35" t="n">
        <x:f>IF(AND(O29&gt;0,SUM($C40:N40)=0),O$4,0)</x:f>
        <x:v>0</x:v>
      </x:c>
      <x:c r="P40" s="35" t="n">
        <x:f>IF(AND(P29&gt;0,SUM($C40:O40)=0),P$4,0)</x:f>
        <x:v>0</x:v>
      </x:c>
      <x:c r="Q40" s="35" t="n">
        <x:f>IF(AND(Q29&gt;0,SUM($C40:P40)=0),Q$4,0)</x:f>
        <x:v>0</x:v>
      </x:c>
      <x:c r="R40" s="35" t="n">
        <x:f>IF(AND(R29&gt;0,SUM($C40:Q40)=0),R$4,0)</x:f>
        <x:v>0</x:v>
      </x:c>
      <x:c r="S40" s="35" t="n">
        <x:f>IF(AND(S29&gt;0,SUM($C40:R40)=0),S$4,0)</x:f>
        <x:v>0</x:v>
      </x:c>
      <x:c r="T40" s="35" t="n">
        <x:f>IF(AND(T29&gt;0,SUM($C40:S40)=0),T$4,0)</x:f>
        <x:v>18</x:v>
      </x:c>
      <x:c r="U40" s="35" t="n">
        <x:f>IF(AND(U29&gt;0,SUM($C40:T40)=0),U$4,0)</x:f>
        <x:v>0</x:v>
      </x:c>
      <x:c r="V40" s="35" t="n">
        <x:f>IF(AND(V29&gt;0,SUM($C40:U40)=0),V$4,0)</x:f>
        <x:v>0</x:v>
      </x:c>
      <x:c r="W40" s="35" t="n">
        <x:f>IF(AND(W29&gt;0,SUM($C40:V40)=0),W$4,0)</x:f>
        <x:v>0</x:v>
      </x:c>
      <x:c r="X40" s="35" t="n">
        <x:f>IF(AND(X29&gt;0,SUM($C40:W40)=0),X$4,0)</x:f>
        <x:v>0</x:v>
      </x:c>
      <x:c r="Y40" s="35" t="n">
        <x:f>IF(AND(Y29&gt;0,SUM($C40:X40)=0),Y$4,0)</x:f>
        <x:v>0</x:v>
      </x:c>
      <x:c r="Z40" s="35" t="n">
        <x:f>IF(AND(Z29&gt;0,SUM($C40:Y40)=0),Z$4,0)</x:f>
        <x:v>0</x:v>
      </x:c>
      <x:c r="AA40" s="35" t="n">
        <x:f>IF(AND(AA29&gt;0,SUM($C40:Z40)=0),AA$4,0)</x:f>
        <x:v>0</x:v>
      </x:c>
      <x:c r="AB40" s="35" t="n">
        <x:f>IF(AND(AB29&gt;0,SUM($C40:AA40)=0),AB$4,0)</x:f>
        <x:v>0</x:v>
      </x:c>
      <x:c r="AC40" s="35" t="n">
        <x:f>IF(AND(AC29&gt;0,SUM($C40:AB40)=0),AC$4,0)</x:f>
        <x:v>0</x:v>
      </x:c>
      <x:c r="AD40" s="35" t="n">
        <x:f>IF(AND(AD29&gt;0,SUM($C40:AC40)=0),AD$4,0)</x:f>
        <x:v>0</x:v>
      </x:c>
      <x:c r="AE40" s="35" t="n">
        <x:f>IF(AND(AE29&gt;0,SUM($C40:AD40)=0),AE$4,0)</x:f>
        <x:v>0</x:v>
      </x:c>
      <x:c r="AF40" s="35" t="n">
        <x:f>IF(AND(AF29&gt;0,SUM($C40:AE40)=0),AF$4,0)</x:f>
        <x:v>0</x:v>
      </x:c>
      <x:c r="AG40" s="35" t="n">
        <x:f>IF(AND(AG29&gt;0,SUM($C40:AF40)=0),AG$4,0)</x:f>
        <x:v>0</x:v>
      </x:c>
      <x:c r="AH40" s="35" t="n">
        <x:f>IF(AND(AH29&gt;0,SUM($C40:AG40)=0),AH$4,0)</x:f>
        <x:v>0</x:v>
      </x:c>
      <x:c r="AI40" s="35" t="n">
        <x:f>IF(AND(AI29&gt;0,SUM($C40:AH40)=0),AI$4,0)</x:f>
        <x:v>0</x:v>
      </x:c>
      <x:c r="AJ40" s="35" t="n">
        <x:f>IF(AND(AJ29&gt;0,SUM($C40:AI40)=0),AJ$4,0)</x:f>
        <x:v>0</x:v>
      </x:c>
      <x:c r="AK40" s="35" t="n">
        <x:f>IF(AND(AK29&gt;0,SUM($C40:AJ40)=0),AK$4,0)</x:f>
        <x:v>0</x:v>
      </x:c>
      <x:c r="AL40" s="35" t="n">
        <x:f>IF(AND(AL29&gt;0,SUM($C40:AK40)=0),AL$4,0)</x:f>
        <x:v>0</x:v>
      </x:c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8" t="str">
        <x:v>Дополнительное финансирование до 0</x:v>
      </x:c>
      <x:c r="B41" s="8"/>
      <x:c r="C41" s="35" t="n">
        <x:f>MAX(0,-MIN($C39:C39))</x:f>
        <x:v>0</x:v>
      </x:c>
      <x:c r="D41" s="35" t="n">
        <x:f>MAX(0,-MIN($C39:D39))</x:f>
        <x:v>0</x:v>
      </x:c>
      <x:c r="E41" s="35" t="n">
        <x:f>MAX(0,-MIN($C39:E39))</x:f>
        <x:v>0</x:v>
      </x:c>
      <x:c r="F41" s="35" t="n">
        <x:f>MAX(0,-MIN($C39:F39))</x:f>
        <x:v>0</x:v>
      </x:c>
      <x:c r="G41" s="35" t="n">
        <x:f>MAX(0,-MIN($C39:G39))</x:f>
        <x:v>0</x:v>
      </x:c>
      <x:c r="H41" s="35" t="n">
        <x:f>MAX(0,-MIN($C39:H39))</x:f>
        <x:v>0</x:v>
      </x:c>
      <x:c r="I41" s="35" t="n">
        <x:f>MAX(0,-MIN($C39:I39))</x:f>
        <x:v>0</x:v>
      </x:c>
      <x:c r="J41" s="35" t="n">
        <x:f>MAX(0,-MIN($C39:J39))</x:f>
        <x:v>0</x:v>
      </x:c>
      <x:c r="K41" s="35" t="n">
        <x:f>MAX(0,-MIN($C39:K39))</x:f>
        <x:v>0</x:v>
      </x:c>
      <x:c r="L41" s="35" t="n">
        <x:f>MAX(0,-MIN($C39:L39))</x:f>
        <x:v>0</x:v>
      </x:c>
      <x:c r="M41" s="35" t="n">
        <x:f>MAX(0,-MIN($C39:M39))</x:f>
        <x:v>0</x:v>
      </x:c>
      <x:c r="N41" s="35" t="n">
        <x:f>MAX(0,-MIN($C39:N39))</x:f>
        <x:v>0</x:v>
      </x:c>
      <x:c r="O41" s="35" t="n">
        <x:f>MAX(0,-MIN($C39:O39))</x:f>
        <x:v>0</x:v>
      </x:c>
      <x:c r="P41" s="35" t="n">
        <x:f>MAX(0,-MIN($C39:P39))</x:f>
        <x:v>0</x:v>
      </x:c>
      <x:c r="Q41" s="35" t="n">
        <x:f>MAX(0,-MIN($C39:Q39))</x:f>
        <x:v>0</x:v>
      </x:c>
      <x:c r="R41" s="35" t="n">
        <x:f>MAX(0,-MIN($C39:R39))</x:f>
        <x:v>7466.971980335948</x:v>
      </x:c>
      <x:c r="S41" s="35" t="n">
        <x:f>MAX(0,-MIN($C39:S39))</x:f>
        <x:v>10997.00164553398</x:v>
      </x:c>
      <x:c r="T41" s="35" t="n">
        <x:f>MAX(0,-MIN($C39:T39))</x:f>
        <x:v>10997.00164553398</x:v>
      </x:c>
      <x:c r="U41" s="35" t="n">
        <x:f>MAX(0,-MIN($C39:U39))</x:f>
        <x:v>10997.00164553398</x:v>
      </x:c>
      <x:c r="V41" s="35" t="n">
        <x:f>MAX(0,-MIN($C39:V39))</x:f>
        <x:v>10997.00164553398</x:v>
      </x:c>
      <x:c r="W41" s="35" t="n">
        <x:f>MAX(0,-MIN($C39:W39))</x:f>
        <x:v>10997.00164553398</x:v>
      </x:c>
      <x:c r="X41" s="35" t="n">
        <x:f>MAX(0,-MIN($C39:X39))</x:f>
        <x:v>10997.00164553398</x:v>
      </x:c>
      <x:c r="Y41" s="35" t="n">
        <x:f>MAX(0,-MIN($C39:Y39))</x:f>
        <x:v>10997.00164553398</x:v>
      </x:c>
      <x:c r="Z41" s="35" t="n">
        <x:f>MAX(0,-MIN($C39:Z39))</x:f>
        <x:v>10997.00164553398</x:v>
      </x:c>
      <x:c r="AA41" s="35" t="n">
        <x:f>MAX(0,-MIN($C39:AA39))</x:f>
        <x:v>10997.00164553398</x:v>
      </x:c>
      <x:c r="AB41" s="35" t="n">
        <x:f>MAX(0,-MIN($C39:AB39))</x:f>
        <x:v>10997.00164553398</x:v>
      </x:c>
      <x:c r="AC41" s="35" t="n">
        <x:f>MAX(0,-MIN($C39:AC39))</x:f>
        <x:v>10997.00164553398</x:v>
      </x:c>
      <x:c r="AD41" s="35" t="n">
        <x:f>MAX(0,-MIN($C39:AD39))</x:f>
        <x:v>10997.00164553398</x:v>
      </x:c>
      <x:c r="AE41" s="35" t="n">
        <x:f>MAX(0,-MIN($C39:AE39))</x:f>
        <x:v>10997.00164553398</x:v>
      </x:c>
      <x:c r="AF41" s="35" t="n">
        <x:f>MAX(0,-MIN($C39:AF39))</x:f>
        <x:v>10997.00164553398</x:v>
      </x:c>
      <x:c r="AG41" s="35" t="n">
        <x:f>MAX(0,-MIN($C39:AG39))</x:f>
        <x:v>10997.00164553398</x:v>
      </x:c>
      <x:c r="AH41" s="35" t="n">
        <x:f>MAX(0,-MIN($C39:AH39))</x:f>
        <x:v>10997.00164553398</x:v>
      </x:c>
      <x:c r="AI41" s="35" t="n">
        <x:f>MAX(0,-MIN($C39:AI39))</x:f>
        <x:v>10997.00164553398</x:v>
      </x:c>
      <x:c r="AJ41" s="35" t="n">
        <x:f>MAX(0,-MIN($C39:AJ39))</x:f>
        <x:v>10997.00164553398</x:v>
      </x:c>
      <x:c r="AK41" s="35" t="n">
        <x:f>MAX(0,-MIN($C39:AK39))</x:f>
        <x:v>10997.00164553398</x:v>
      </x:c>
      <x:c r="AL41" s="35" t="n">
        <x:f>MAX(0,-MIN($C39:AL39))</x:f>
        <x:v>10997.00164553398</x:v>
      </x:c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8" t="str">
        <x:v>Финансирование до целевого резерва</x:v>
      </x:c>
      <x:c r="B42" s="8"/>
      <x:c r="C42" s="35" t="n">
        <x:f>MAX(0,'Assumptions'!$B$57-MIN($C39:C39))</x:f>
        <x:v>0</x:v>
      </x:c>
      <x:c r="D42" s="35" t="n">
        <x:f>MAX(0,'Assumptions'!$B$57-MIN($C39:D39))</x:f>
        <x:v>0</x:v>
      </x:c>
      <x:c r="E42" s="35" t="n">
        <x:f>MAX(0,'Assumptions'!$B$57-MIN($C39:E39))</x:f>
        <x:v>0</x:v>
      </x:c>
      <x:c r="F42" s="35" t="n">
        <x:f>MAX(0,'Assumptions'!$B$57-MIN($C39:F39))</x:f>
        <x:v>0</x:v>
      </x:c>
      <x:c r="G42" s="35" t="n">
        <x:f>MAX(0,'Assumptions'!$B$57-MIN($C39:G39))</x:f>
        <x:v>0</x:v>
      </x:c>
      <x:c r="H42" s="35" t="n">
        <x:f>MAX(0,'Assumptions'!$B$57-MIN($C39:H39))</x:f>
        <x:v>0</x:v>
      </x:c>
      <x:c r="I42" s="35" t="n">
        <x:f>MAX(0,'Assumptions'!$B$57-MIN($C39:I39))</x:f>
        <x:v>0</x:v>
      </x:c>
      <x:c r="J42" s="35" t="n">
        <x:f>MAX(0,'Assumptions'!$B$57-MIN($C39:J39))</x:f>
        <x:v>0</x:v>
      </x:c>
      <x:c r="K42" s="35" t="n">
        <x:f>MAX(0,'Assumptions'!$B$57-MIN($C39:K39))</x:f>
        <x:v>0</x:v>
      </x:c>
      <x:c r="L42" s="35" t="n">
        <x:f>MAX(0,'Assumptions'!$B$57-MIN($C39:L39))</x:f>
        <x:v>0</x:v>
      </x:c>
      <x:c r="M42" s="35" t="n">
        <x:f>MAX(0,'Assumptions'!$B$57-MIN($C39:M39))</x:f>
        <x:v>7103.053556840328</x:v>
      </x:c>
      <x:c r="N42" s="35" t="n">
        <x:f>MAX(0,'Assumptions'!$B$57-MIN($C39:N39))</x:f>
        <x:v>16274.004450135108</x:v>
      </x:c>
      <x:c r="O42" s="35" t="n">
        <x:f>MAX(0,'Assumptions'!$B$57-MIN($C39:O39))</x:f>
        <x:v>51109.823141239176</x:v>
      </x:c>
      <x:c r="P42" s="35" t="n">
        <x:f>MAX(0,'Assumptions'!$B$57-MIN($C39:P39))</x:f>
        <x:v>77758.06727161011</x:v>
      </x:c>
      <x:c r="Q42" s="35" t="n">
        <x:f>MAX(0,'Assumptions'!$B$57-MIN($C39:Q39))</x:f>
        <x:v>96464.36407806992</x:v>
      </x:c>
      <x:c r="R42" s="35" t="n">
        <x:f>MAX(0,'Assumptions'!$B$57-MIN($C39:R39))</x:f>
        <x:v>107466.97198033595</x:v>
      </x:c>
      <x:c r="S42" s="35" t="n">
        <x:f>MAX(0,'Assumptions'!$B$57-MIN($C39:S39))</x:f>
        <x:v>110997.00164553398</x:v>
      </x:c>
      <x:c r="T42" s="35" t="n">
        <x:f>MAX(0,'Assumptions'!$B$57-MIN($C39:T39))</x:f>
        <x:v>110997.00164553398</x:v>
      </x:c>
      <x:c r="U42" s="35" t="n">
        <x:f>MAX(0,'Assumptions'!$B$57-MIN($C39:U39))</x:f>
        <x:v>110997.00164553398</x:v>
      </x:c>
      <x:c r="V42" s="35" t="n">
        <x:f>MAX(0,'Assumptions'!$B$57-MIN($C39:V39))</x:f>
        <x:v>110997.00164553398</x:v>
      </x:c>
      <x:c r="W42" s="35" t="n">
        <x:f>MAX(0,'Assumptions'!$B$57-MIN($C39:W39))</x:f>
        <x:v>110997.00164553398</x:v>
      </x:c>
      <x:c r="X42" s="35" t="n">
        <x:f>MAX(0,'Assumptions'!$B$57-MIN($C39:X39))</x:f>
        <x:v>110997.00164553398</x:v>
      </x:c>
      <x:c r="Y42" s="35" t="n">
        <x:f>MAX(0,'Assumptions'!$B$57-MIN($C39:Y39))</x:f>
        <x:v>110997.00164553398</x:v>
      </x:c>
      <x:c r="Z42" s="35" t="n">
        <x:f>MAX(0,'Assumptions'!$B$57-MIN($C39:Z39))</x:f>
        <x:v>110997.00164553398</x:v>
      </x:c>
      <x:c r="AA42" s="35" t="n">
        <x:f>MAX(0,'Assumptions'!$B$57-MIN($C39:AA39))</x:f>
        <x:v>110997.00164553398</x:v>
      </x:c>
      <x:c r="AB42" s="35" t="n">
        <x:f>MAX(0,'Assumptions'!$B$57-MIN($C39:AB39))</x:f>
        <x:v>110997.00164553398</x:v>
      </x:c>
      <x:c r="AC42" s="35" t="n">
        <x:f>MAX(0,'Assumptions'!$B$57-MIN($C39:AC39))</x:f>
        <x:v>110997.00164553398</x:v>
      </x:c>
      <x:c r="AD42" s="35" t="n">
        <x:f>MAX(0,'Assumptions'!$B$57-MIN($C39:AD39))</x:f>
        <x:v>110997.00164553398</x:v>
      </x:c>
      <x:c r="AE42" s="35" t="n">
        <x:f>MAX(0,'Assumptions'!$B$57-MIN($C39:AE39))</x:f>
        <x:v>110997.00164553398</x:v>
      </x:c>
      <x:c r="AF42" s="35" t="n">
        <x:f>MAX(0,'Assumptions'!$B$57-MIN($C39:AF39))</x:f>
        <x:v>110997.00164553398</x:v>
      </x:c>
      <x:c r="AG42" s="35" t="n">
        <x:f>MAX(0,'Assumptions'!$B$57-MIN($C39:AG39))</x:f>
        <x:v>110997.00164553398</x:v>
      </x:c>
      <x:c r="AH42" s="35" t="n">
        <x:f>MAX(0,'Assumptions'!$B$57-MIN($C39:AH39))</x:f>
        <x:v>110997.00164553398</x:v>
      </x:c>
      <x:c r="AI42" s="35" t="n">
        <x:f>MAX(0,'Assumptions'!$B$57-MIN($C39:AI39))</x:f>
        <x:v>110997.00164553398</x:v>
      </x:c>
      <x:c r="AJ42" s="35" t="n">
        <x:f>MAX(0,'Assumptions'!$B$57-MIN($C39:AJ39))</x:f>
        <x:v>110997.00164553398</x:v>
      </x:c>
      <x:c r="AK42" s="35" t="n">
        <x:f>MAX(0,'Assumptions'!$B$57-MIN($C39:AK39))</x:f>
        <x:v>110997.00164553398</x:v>
      </x:c>
      <x:c r="AL42" s="35" t="n">
        <x:f>MAX(0,'Assumptions'!$B$57-MIN($C39:AL39))</x:f>
        <x:v>110997.00164553398</x:v>
      </x:c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 ht="23" customHeight="1">
      <x:c r="A43" s="61" t="str">
        <x:v>Распределение OPEX</x:v>
      </x:c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  <x:c r="AA43" s="61"/>
      <x:c r="AB43" s="61"/>
      <x:c r="AC43" s="61"/>
      <x:c r="AD43" s="61"/>
      <x:c r="AE43" s="61"/>
      <x:c r="AF43" s="61"/>
      <x:c r="AG43" s="61"/>
      <x:c r="AH43" s="61"/>
      <x:c r="AI43" s="61"/>
      <x:c r="AJ43" s="61"/>
      <x:c r="AK43" s="61"/>
      <x:c r="AL43" s="61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 t="str">
        <x:v>Founder compensation</x:v>
      </x:c>
      <x:c r="B44" s="7"/>
      <x:c r="C44" s="34" t="n">
        <x:f>C28*'Assumptions'!$B$71</x:f>
        <x:v>9375</x:v>
      </x:c>
      <x:c r="D44" s="34" t="n">
        <x:f>D28*'Assumptions'!$B$71</x:f>
        <x:v>9375</x:v>
      </x:c>
      <x:c r="E44" s="34" t="n">
        <x:f>E28*'Assumptions'!$B$71</x:f>
        <x:v>9375</x:v>
      </x:c>
      <x:c r="F44" s="34" t="n">
        <x:f>F28*'Assumptions'!$B$71</x:f>
        <x:v>9375</x:v>
      </x:c>
      <x:c r="G44" s="34" t="n">
        <x:f>G28*'Assumptions'!$B$71</x:f>
        <x:v>9375</x:v>
      </x:c>
      <x:c r="H44" s="34" t="n">
        <x:f>H28*'Assumptions'!$B$71</x:f>
        <x:v>9375</x:v>
      </x:c>
      <x:c r="I44" s="34" t="n">
        <x:f>I28*'Assumptions'!$B$71</x:f>
        <x:v>9375</x:v>
      </x:c>
      <x:c r="J44" s="34" t="n">
        <x:f>J28*'Assumptions'!$B$71</x:f>
        <x:v>9375</x:v>
      </x:c>
      <x:c r="K44" s="34" t="n">
        <x:f>K28*'Assumptions'!$B$71</x:f>
        <x:v>9375</x:v>
      </x:c>
      <x:c r="L44" s="34" t="n">
        <x:f>L28*'Assumptions'!$B$71</x:f>
        <x:v>9375</x:v>
      </x:c>
      <x:c r="M44" s="34" t="n">
        <x:f>M28*'Assumptions'!$B$71</x:f>
        <x:v>9375</x:v>
      </x:c>
      <x:c r="N44" s="34" t="n">
        <x:f>N28*'Assumptions'!$B$71</x:f>
        <x:v>9375</x:v>
      </x:c>
      <x:c r="O44" s="34" t="n">
        <x:f>O28*'Assumptions'!$B$71</x:f>
        <x:v>18750</x:v>
      </x:c>
      <x:c r="P44" s="34" t="n">
        <x:f>P28*'Assumptions'!$B$71</x:f>
        <x:v>18750</x:v>
      </x:c>
      <x:c r="Q44" s="34" t="n">
        <x:f>Q28*'Assumptions'!$B$71</x:f>
        <x:v>18750</x:v>
      </x:c>
      <x:c r="R44" s="34" t="n">
        <x:f>R28*'Assumptions'!$B$71</x:f>
        <x:v>18750</x:v>
      </x:c>
      <x:c r="S44" s="34" t="n">
        <x:f>S28*'Assumptions'!$B$71</x:f>
        <x:v>18750</x:v>
      </x:c>
      <x:c r="T44" s="34" t="n">
        <x:f>T28*'Assumptions'!$B$71</x:f>
        <x:v>18750</x:v>
      </x:c>
      <x:c r="U44" s="34" t="n">
        <x:f>U28*'Assumptions'!$B$71</x:f>
        <x:v>18750</x:v>
      </x:c>
      <x:c r="V44" s="34" t="n">
        <x:f>V28*'Assumptions'!$B$71</x:f>
        <x:v>18750</x:v>
      </x:c>
      <x:c r="W44" s="34" t="n">
        <x:f>W28*'Assumptions'!$B$71</x:f>
        <x:v>18750</x:v>
      </x:c>
      <x:c r="X44" s="34" t="n">
        <x:f>X28*'Assumptions'!$B$71</x:f>
        <x:v>18750</x:v>
      </x:c>
      <x:c r="Y44" s="34" t="n">
        <x:f>Y28*'Assumptions'!$B$71</x:f>
        <x:v>18750</x:v>
      </x:c>
      <x:c r="Z44" s="34" t="n">
        <x:f>Z28*'Assumptions'!$B$71</x:f>
        <x:v>18750</x:v>
      </x:c>
      <x:c r="AA44" s="34" t="n">
        <x:f>AA28*'Assumptions'!$B$71</x:f>
        <x:v>41666.666666666664</x:v>
      </x:c>
      <x:c r="AB44" s="34" t="n">
        <x:f>AB28*'Assumptions'!$B$71</x:f>
        <x:v>41666.666666666664</x:v>
      </x:c>
      <x:c r="AC44" s="34" t="n">
        <x:f>AC28*'Assumptions'!$B$71</x:f>
        <x:v>41666.666666666664</x:v>
      </x:c>
      <x:c r="AD44" s="34" t="n">
        <x:f>AD28*'Assumptions'!$B$71</x:f>
        <x:v>41666.666666666664</x:v>
      </x:c>
      <x:c r="AE44" s="34" t="n">
        <x:f>AE28*'Assumptions'!$B$71</x:f>
        <x:v>41666.666666666664</x:v>
      </x:c>
      <x:c r="AF44" s="34" t="n">
        <x:f>AF28*'Assumptions'!$B$71</x:f>
        <x:v>41666.666666666664</x:v>
      </x:c>
      <x:c r="AG44" s="34" t="n">
        <x:f>AG28*'Assumptions'!$B$71</x:f>
        <x:v>41666.666666666664</x:v>
      </x:c>
      <x:c r="AH44" s="34" t="n">
        <x:f>AH28*'Assumptions'!$B$71</x:f>
        <x:v>41666.666666666664</x:v>
      </x:c>
      <x:c r="AI44" s="34" t="n">
        <x:f>AI28*'Assumptions'!$B$71</x:f>
        <x:v>41666.666666666664</x:v>
      </x:c>
      <x:c r="AJ44" s="34" t="n">
        <x:f>AJ28*'Assumptions'!$B$71</x:f>
        <x:v>41666.666666666664</x:v>
      </x:c>
      <x:c r="AK44" s="34" t="n">
        <x:f>AK28*'Assumptions'!$B$71</x:f>
        <x:v>41666.666666666664</x:v>
      </x:c>
      <x:c r="AL44" s="34" t="n">
        <x:f>AL28*'Assumptions'!$B$71</x:f>
        <x:v>41666.666666666664</x:v>
      </x:c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 t="str">
        <x:v>Product &amp; engineering</x:v>
      </x:c>
      <x:c r="B45" s="7"/>
      <x:c r="C45" s="34" t="n">
        <x:f>C28*'Assumptions'!$B$72</x:f>
        <x:v>16875</x:v>
      </x:c>
      <x:c r="D45" s="34" t="n">
        <x:f>D28*'Assumptions'!$B$72</x:f>
        <x:v>16875</x:v>
      </x:c>
      <x:c r="E45" s="34" t="n">
        <x:f>E28*'Assumptions'!$B$72</x:f>
        <x:v>16875</x:v>
      </x:c>
      <x:c r="F45" s="34" t="n">
        <x:f>F28*'Assumptions'!$B$72</x:f>
        <x:v>16875</x:v>
      </x:c>
      <x:c r="G45" s="34" t="n">
        <x:f>G28*'Assumptions'!$B$72</x:f>
        <x:v>16875</x:v>
      </x:c>
      <x:c r="H45" s="34" t="n">
        <x:f>H28*'Assumptions'!$B$72</x:f>
        <x:v>16875</x:v>
      </x:c>
      <x:c r="I45" s="34" t="n">
        <x:f>I28*'Assumptions'!$B$72</x:f>
        <x:v>16875</x:v>
      </x:c>
      <x:c r="J45" s="34" t="n">
        <x:f>J28*'Assumptions'!$B$72</x:f>
        <x:v>16875</x:v>
      </x:c>
      <x:c r="K45" s="34" t="n">
        <x:f>K28*'Assumptions'!$B$72</x:f>
        <x:v>16875</x:v>
      </x:c>
      <x:c r="L45" s="34" t="n">
        <x:f>L28*'Assumptions'!$B$72</x:f>
        <x:v>16875</x:v>
      </x:c>
      <x:c r="M45" s="34" t="n">
        <x:f>M28*'Assumptions'!$B$72</x:f>
        <x:v>16875</x:v>
      </x:c>
      <x:c r="N45" s="34" t="n">
        <x:f>N28*'Assumptions'!$B$72</x:f>
        <x:v>16875</x:v>
      </x:c>
      <x:c r="O45" s="34" t="n">
        <x:f>O28*'Assumptions'!$B$72</x:f>
        <x:v>33750</x:v>
      </x:c>
      <x:c r="P45" s="34" t="n">
        <x:f>P28*'Assumptions'!$B$72</x:f>
        <x:v>33750</x:v>
      </x:c>
      <x:c r="Q45" s="34" t="n">
        <x:f>Q28*'Assumptions'!$B$72</x:f>
        <x:v>33750</x:v>
      </x:c>
      <x:c r="R45" s="34" t="n">
        <x:f>R28*'Assumptions'!$B$72</x:f>
        <x:v>33750</x:v>
      </x:c>
      <x:c r="S45" s="34" t="n">
        <x:f>S28*'Assumptions'!$B$72</x:f>
        <x:v>33750</x:v>
      </x:c>
      <x:c r="T45" s="34" t="n">
        <x:f>T28*'Assumptions'!$B$72</x:f>
        <x:v>33750</x:v>
      </x:c>
      <x:c r="U45" s="34" t="n">
        <x:f>U28*'Assumptions'!$B$72</x:f>
        <x:v>33750</x:v>
      </x:c>
      <x:c r="V45" s="34" t="n">
        <x:f>V28*'Assumptions'!$B$72</x:f>
        <x:v>33750</x:v>
      </x:c>
      <x:c r="W45" s="34" t="n">
        <x:f>W28*'Assumptions'!$B$72</x:f>
        <x:v>33750</x:v>
      </x:c>
      <x:c r="X45" s="34" t="n">
        <x:f>X28*'Assumptions'!$B$72</x:f>
        <x:v>33750</x:v>
      </x:c>
      <x:c r="Y45" s="34" t="n">
        <x:f>Y28*'Assumptions'!$B$72</x:f>
        <x:v>33750</x:v>
      </x:c>
      <x:c r="Z45" s="34" t="n">
        <x:f>Z28*'Assumptions'!$B$72</x:f>
        <x:v>33750</x:v>
      </x:c>
      <x:c r="AA45" s="34" t="n">
        <x:f>AA28*'Assumptions'!$B$72</x:f>
        <x:v>75000</x:v>
      </x:c>
      <x:c r="AB45" s="34" t="n">
        <x:f>AB28*'Assumptions'!$B$72</x:f>
        <x:v>75000</x:v>
      </x:c>
      <x:c r="AC45" s="34" t="n">
        <x:f>AC28*'Assumptions'!$B$72</x:f>
        <x:v>75000</x:v>
      </x:c>
      <x:c r="AD45" s="34" t="n">
        <x:f>AD28*'Assumptions'!$B$72</x:f>
        <x:v>75000</x:v>
      </x:c>
      <x:c r="AE45" s="34" t="n">
        <x:f>AE28*'Assumptions'!$B$72</x:f>
        <x:v>75000</x:v>
      </x:c>
      <x:c r="AF45" s="34" t="n">
        <x:f>AF28*'Assumptions'!$B$72</x:f>
        <x:v>75000</x:v>
      </x:c>
      <x:c r="AG45" s="34" t="n">
        <x:f>AG28*'Assumptions'!$B$72</x:f>
        <x:v>75000</x:v>
      </x:c>
      <x:c r="AH45" s="34" t="n">
        <x:f>AH28*'Assumptions'!$B$72</x:f>
        <x:v>75000</x:v>
      </x:c>
      <x:c r="AI45" s="34" t="n">
        <x:f>AI28*'Assumptions'!$B$72</x:f>
        <x:v>75000</x:v>
      </x:c>
      <x:c r="AJ45" s="34" t="n">
        <x:f>AJ28*'Assumptions'!$B$72</x:f>
        <x:v>75000</x:v>
      </x:c>
      <x:c r="AK45" s="34" t="n">
        <x:f>AK28*'Assumptions'!$B$72</x:f>
        <x:v>75000</x:v>
      </x:c>
      <x:c r="AL45" s="34" t="n">
        <x:f>AL28*'Assumptions'!$B$72</x:f>
        <x:v>75000</x:v>
      </x:c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 t="str">
        <x:v>Sales &amp; marketing</x:v>
      </x:c>
      <x:c r="B46" s="7"/>
      <x:c r="C46" s="34" t="n">
        <x:f>C28*'Assumptions'!$B$73</x:f>
        <x:v>3750</x:v>
      </x:c>
      <x:c r="D46" s="34" t="n">
        <x:f>D28*'Assumptions'!$B$73</x:f>
        <x:v>3750</x:v>
      </x:c>
      <x:c r="E46" s="34" t="n">
        <x:f>E28*'Assumptions'!$B$73</x:f>
        <x:v>3750</x:v>
      </x:c>
      <x:c r="F46" s="34" t="n">
        <x:f>F28*'Assumptions'!$B$73</x:f>
        <x:v>3750</x:v>
      </x:c>
      <x:c r="G46" s="34" t="n">
        <x:f>G28*'Assumptions'!$B$73</x:f>
        <x:v>3750</x:v>
      </x:c>
      <x:c r="H46" s="34" t="n">
        <x:f>H28*'Assumptions'!$B$73</x:f>
        <x:v>3750</x:v>
      </x:c>
      <x:c r="I46" s="34" t="n">
        <x:f>I28*'Assumptions'!$B$73</x:f>
        <x:v>3750</x:v>
      </x:c>
      <x:c r="J46" s="34" t="n">
        <x:f>J28*'Assumptions'!$B$73</x:f>
        <x:v>3750</x:v>
      </x:c>
      <x:c r="K46" s="34" t="n">
        <x:f>K28*'Assumptions'!$B$73</x:f>
        <x:v>3750</x:v>
      </x:c>
      <x:c r="L46" s="34" t="n">
        <x:f>L28*'Assumptions'!$B$73</x:f>
        <x:v>3750</x:v>
      </x:c>
      <x:c r="M46" s="34" t="n">
        <x:f>M28*'Assumptions'!$B$73</x:f>
        <x:v>3750</x:v>
      </x:c>
      <x:c r="N46" s="34" t="n">
        <x:f>N28*'Assumptions'!$B$73</x:f>
        <x:v>3750</x:v>
      </x:c>
      <x:c r="O46" s="34" t="n">
        <x:f>O28*'Assumptions'!$B$73</x:f>
        <x:v>7500</x:v>
      </x:c>
      <x:c r="P46" s="34" t="n">
        <x:f>P28*'Assumptions'!$B$73</x:f>
        <x:v>7500</x:v>
      </x:c>
      <x:c r="Q46" s="34" t="n">
        <x:f>Q28*'Assumptions'!$B$73</x:f>
        <x:v>7500</x:v>
      </x:c>
      <x:c r="R46" s="34" t="n">
        <x:f>R28*'Assumptions'!$B$73</x:f>
        <x:v>7500</x:v>
      </x:c>
      <x:c r="S46" s="34" t="n">
        <x:f>S28*'Assumptions'!$B$73</x:f>
        <x:v>7500</x:v>
      </x:c>
      <x:c r="T46" s="34" t="n">
        <x:f>T28*'Assumptions'!$B$73</x:f>
        <x:v>7500</x:v>
      </x:c>
      <x:c r="U46" s="34" t="n">
        <x:f>U28*'Assumptions'!$B$73</x:f>
        <x:v>7500</x:v>
      </x:c>
      <x:c r="V46" s="34" t="n">
        <x:f>V28*'Assumptions'!$B$73</x:f>
        <x:v>7500</x:v>
      </x:c>
      <x:c r="W46" s="34" t="n">
        <x:f>W28*'Assumptions'!$B$73</x:f>
        <x:v>7500</x:v>
      </x:c>
      <x:c r="X46" s="34" t="n">
        <x:f>X28*'Assumptions'!$B$73</x:f>
        <x:v>7500</x:v>
      </x:c>
      <x:c r="Y46" s="34" t="n">
        <x:f>Y28*'Assumptions'!$B$73</x:f>
        <x:v>7500</x:v>
      </x:c>
      <x:c r="Z46" s="34" t="n">
        <x:f>Z28*'Assumptions'!$B$73</x:f>
        <x:v>7500</x:v>
      </x:c>
      <x:c r="AA46" s="34" t="n">
        <x:f>AA28*'Assumptions'!$B$73</x:f>
        <x:v>16666.666666666668</x:v>
      </x:c>
      <x:c r="AB46" s="34" t="n">
        <x:f>AB28*'Assumptions'!$B$73</x:f>
        <x:v>16666.666666666668</x:v>
      </x:c>
      <x:c r="AC46" s="34" t="n">
        <x:f>AC28*'Assumptions'!$B$73</x:f>
        <x:v>16666.666666666668</x:v>
      </x:c>
      <x:c r="AD46" s="34" t="n">
        <x:f>AD28*'Assumptions'!$B$73</x:f>
        <x:v>16666.666666666668</x:v>
      </x:c>
      <x:c r="AE46" s="34" t="n">
        <x:f>AE28*'Assumptions'!$B$73</x:f>
        <x:v>16666.666666666668</x:v>
      </x:c>
      <x:c r="AF46" s="34" t="n">
        <x:f>AF28*'Assumptions'!$B$73</x:f>
        <x:v>16666.666666666668</x:v>
      </x:c>
      <x:c r="AG46" s="34" t="n">
        <x:f>AG28*'Assumptions'!$B$73</x:f>
        <x:v>16666.666666666668</x:v>
      </x:c>
      <x:c r="AH46" s="34" t="n">
        <x:f>AH28*'Assumptions'!$B$73</x:f>
        <x:v>16666.666666666668</x:v>
      </x:c>
      <x:c r="AI46" s="34" t="n">
        <x:f>AI28*'Assumptions'!$B$73</x:f>
        <x:v>16666.666666666668</x:v>
      </x:c>
      <x:c r="AJ46" s="34" t="n">
        <x:f>AJ28*'Assumptions'!$B$73</x:f>
        <x:v>16666.666666666668</x:v>
      </x:c>
      <x:c r="AK46" s="34" t="n">
        <x:f>AK28*'Assumptions'!$B$73</x:f>
        <x:v>16666.666666666668</x:v>
      </x:c>
      <x:c r="AL46" s="34" t="n">
        <x:f>AL28*'Assumptions'!$B$73</x:f>
        <x:v>16666.666666666668</x:v>
      </x:c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 t="str">
        <x:v>Infrastructure &amp; tools</x:v>
      </x:c>
      <x:c r="B47" s="7"/>
      <x:c r="C47" s="34" t="n">
        <x:f>C28*'Assumptions'!$B$74</x:f>
        <x:v>3000</x:v>
      </x:c>
      <x:c r="D47" s="34" t="n">
        <x:f>D28*'Assumptions'!$B$74</x:f>
        <x:v>3000</x:v>
      </x:c>
      <x:c r="E47" s="34" t="n">
        <x:f>E28*'Assumptions'!$B$74</x:f>
        <x:v>3000</x:v>
      </x:c>
      <x:c r="F47" s="34" t="n">
        <x:f>F28*'Assumptions'!$B$74</x:f>
        <x:v>3000</x:v>
      </x:c>
      <x:c r="G47" s="34" t="n">
        <x:f>G28*'Assumptions'!$B$74</x:f>
        <x:v>3000</x:v>
      </x:c>
      <x:c r="H47" s="34" t="n">
        <x:f>H28*'Assumptions'!$B$74</x:f>
        <x:v>3000</x:v>
      </x:c>
      <x:c r="I47" s="34" t="n">
        <x:f>I28*'Assumptions'!$B$74</x:f>
        <x:v>3000</x:v>
      </x:c>
      <x:c r="J47" s="34" t="n">
        <x:f>J28*'Assumptions'!$B$74</x:f>
        <x:v>3000</x:v>
      </x:c>
      <x:c r="K47" s="34" t="n">
        <x:f>K28*'Assumptions'!$B$74</x:f>
        <x:v>3000</x:v>
      </x:c>
      <x:c r="L47" s="34" t="n">
        <x:f>L28*'Assumptions'!$B$74</x:f>
        <x:v>3000</x:v>
      </x:c>
      <x:c r="M47" s="34" t="n">
        <x:f>M28*'Assumptions'!$B$74</x:f>
        <x:v>3000</x:v>
      </x:c>
      <x:c r="N47" s="34" t="n">
        <x:f>N28*'Assumptions'!$B$74</x:f>
        <x:v>3000</x:v>
      </x:c>
      <x:c r="O47" s="34" t="n">
        <x:f>O28*'Assumptions'!$B$74</x:f>
        <x:v>6000</x:v>
      </x:c>
      <x:c r="P47" s="34" t="n">
        <x:f>P28*'Assumptions'!$B$74</x:f>
        <x:v>6000</x:v>
      </x:c>
      <x:c r="Q47" s="34" t="n">
        <x:f>Q28*'Assumptions'!$B$74</x:f>
        <x:v>6000</x:v>
      </x:c>
      <x:c r="R47" s="34" t="n">
        <x:f>R28*'Assumptions'!$B$74</x:f>
        <x:v>6000</x:v>
      </x:c>
      <x:c r="S47" s="34" t="n">
        <x:f>S28*'Assumptions'!$B$74</x:f>
        <x:v>6000</x:v>
      </x:c>
      <x:c r="T47" s="34" t="n">
        <x:f>T28*'Assumptions'!$B$74</x:f>
        <x:v>6000</x:v>
      </x:c>
      <x:c r="U47" s="34" t="n">
        <x:f>U28*'Assumptions'!$B$74</x:f>
        <x:v>6000</x:v>
      </x:c>
      <x:c r="V47" s="34" t="n">
        <x:f>V28*'Assumptions'!$B$74</x:f>
        <x:v>6000</x:v>
      </x:c>
      <x:c r="W47" s="34" t="n">
        <x:f>W28*'Assumptions'!$B$74</x:f>
        <x:v>6000</x:v>
      </x:c>
      <x:c r="X47" s="34" t="n">
        <x:f>X28*'Assumptions'!$B$74</x:f>
        <x:v>6000</x:v>
      </x:c>
      <x:c r="Y47" s="34" t="n">
        <x:f>Y28*'Assumptions'!$B$74</x:f>
        <x:v>6000</x:v>
      </x:c>
      <x:c r="Z47" s="34" t="n">
        <x:f>Z28*'Assumptions'!$B$74</x:f>
        <x:v>6000</x:v>
      </x:c>
      <x:c r="AA47" s="34" t="n">
        <x:f>AA28*'Assumptions'!$B$74</x:f>
        <x:v>13333.333333333332</x:v>
      </x:c>
      <x:c r="AB47" s="34" t="n">
        <x:f>AB28*'Assumptions'!$B$74</x:f>
        <x:v>13333.333333333332</x:v>
      </x:c>
      <x:c r="AC47" s="34" t="n">
        <x:f>AC28*'Assumptions'!$B$74</x:f>
        <x:v>13333.333333333332</x:v>
      </x:c>
      <x:c r="AD47" s="34" t="n">
        <x:f>AD28*'Assumptions'!$B$74</x:f>
        <x:v>13333.333333333332</x:v>
      </x:c>
      <x:c r="AE47" s="34" t="n">
        <x:f>AE28*'Assumptions'!$B$74</x:f>
        <x:v>13333.333333333332</x:v>
      </x:c>
      <x:c r="AF47" s="34" t="n">
        <x:f>AF28*'Assumptions'!$B$74</x:f>
        <x:v>13333.333333333332</x:v>
      </x:c>
      <x:c r="AG47" s="34" t="n">
        <x:f>AG28*'Assumptions'!$B$74</x:f>
        <x:v>13333.333333333332</x:v>
      </x:c>
      <x:c r="AH47" s="34" t="n">
        <x:f>AH28*'Assumptions'!$B$74</x:f>
        <x:v>13333.333333333332</x:v>
      </x:c>
      <x:c r="AI47" s="34" t="n">
        <x:f>AI28*'Assumptions'!$B$74</x:f>
        <x:v>13333.333333333332</x:v>
      </x:c>
      <x:c r="AJ47" s="34" t="n">
        <x:f>AJ28*'Assumptions'!$B$74</x:f>
        <x:v>13333.333333333332</x:v>
      </x:c>
      <x:c r="AK47" s="34" t="n">
        <x:f>AK28*'Assumptions'!$B$74</x:f>
        <x:v>13333.333333333332</x:v>
      </x:c>
      <x:c r="AL47" s="34" t="n">
        <x:f>AL28*'Assumptions'!$B$74</x:f>
        <x:v>13333.333333333332</x:v>
      </x:c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 t="str">
        <x:v>Legal &amp; administration</x:v>
      </x:c>
      <x:c r="B48" s="7"/>
      <x:c r="C48" s="34" t="n">
        <x:f>C28*'Assumptions'!$B$75</x:f>
        <x:v>1875</x:v>
      </x:c>
      <x:c r="D48" s="34" t="n">
        <x:f>D28*'Assumptions'!$B$75</x:f>
        <x:v>1875</x:v>
      </x:c>
      <x:c r="E48" s="34" t="n">
        <x:f>E28*'Assumptions'!$B$75</x:f>
        <x:v>1875</x:v>
      </x:c>
      <x:c r="F48" s="34" t="n">
        <x:f>F28*'Assumptions'!$B$75</x:f>
        <x:v>1875</x:v>
      </x:c>
      <x:c r="G48" s="34" t="n">
        <x:f>G28*'Assumptions'!$B$75</x:f>
        <x:v>1875</x:v>
      </x:c>
      <x:c r="H48" s="34" t="n">
        <x:f>H28*'Assumptions'!$B$75</x:f>
        <x:v>1875</x:v>
      </x:c>
      <x:c r="I48" s="34" t="n">
        <x:f>I28*'Assumptions'!$B$75</x:f>
        <x:v>1875</x:v>
      </x:c>
      <x:c r="J48" s="34" t="n">
        <x:f>J28*'Assumptions'!$B$75</x:f>
        <x:v>1875</x:v>
      </x:c>
      <x:c r="K48" s="34" t="n">
        <x:f>K28*'Assumptions'!$B$75</x:f>
        <x:v>1875</x:v>
      </x:c>
      <x:c r="L48" s="34" t="n">
        <x:f>L28*'Assumptions'!$B$75</x:f>
        <x:v>1875</x:v>
      </x:c>
      <x:c r="M48" s="34" t="n">
        <x:f>M28*'Assumptions'!$B$75</x:f>
        <x:v>1875</x:v>
      </x:c>
      <x:c r="N48" s="34" t="n">
        <x:f>N28*'Assumptions'!$B$75</x:f>
        <x:v>1875</x:v>
      </x:c>
      <x:c r="O48" s="34" t="n">
        <x:f>O28*'Assumptions'!$B$75</x:f>
        <x:v>3750</x:v>
      </x:c>
      <x:c r="P48" s="34" t="n">
        <x:f>P28*'Assumptions'!$B$75</x:f>
        <x:v>3750</x:v>
      </x:c>
      <x:c r="Q48" s="34" t="n">
        <x:f>Q28*'Assumptions'!$B$75</x:f>
        <x:v>3750</x:v>
      </x:c>
      <x:c r="R48" s="34" t="n">
        <x:f>R28*'Assumptions'!$B$75</x:f>
        <x:v>3750</x:v>
      </x:c>
      <x:c r="S48" s="34" t="n">
        <x:f>S28*'Assumptions'!$B$75</x:f>
        <x:v>3750</x:v>
      </x:c>
      <x:c r="T48" s="34" t="n">
        <x:f>T28*'Assumptions'!$B$75</x:f>
        <x:v>3750</x:v>
      </x:c>
      <x:c r="U48" s="34" t="n">
        <x:f>U28*'Assumptions'!$B$75</x:f>
        <x:v>3750</x:v>
      </x:c>
      <x:c r="V48" s="34" t="n">
        <x:f>V28*'Assumptions'!$B$75</x:f>
        <x:v>3750</x:v>
      </x:c>
      <x:c r="W48" s="34" t="n">
        <x:f>W28*'Assumptions'!$B$75</x:f>
        <x:v>3750</x:v>
      </x:c>
      <x:c r="X48" s="34" t="n">
        <x:f>X28*'Assumptions'!$B$75</x:f>
        <x:v>3750</x:v>
      </x:c>
      <x:c r="Y48" s="34" t="n">
        <x:f>Y28*'Assumptions'!$B$75</x:f>
        <x:v>3750</x:v>
      </x:c>
      <x:c r="Z48" s="34" t="n">
        <x:f>Z28*'Assumptions'!$B$75</x:f>
        <x:v>3750</x:v>
      </x:c>
      <x:c r="AA48" s="34" t="n">
        <x:f>AA28*'Assumptions'!$B$75</x:f>
        <x:v>8333.333333333334</x:v>
      </x:c>
      <x:c r="AB48" s="34" t="n">
        <x:f>AB28*'Assumptions'!$B$75</x:f>
        <x:v>8333.333333333334</x:v>
      </x:c>
      <x:c r="AC48" s="34" t="n">
        <x:f>AC28*'Assumptions'!$B$75</x:f>
        <x:v>8333.333333333334</x:v>
      </x:c>
      <x:c r="AD48" s="34" t="n">
        <x:f>AD28*'Assumptions'!$B$75</x:f>
        <x:v>8333.333333333334</x:v>
      </x:c>
      <x:c r="AE48" s="34" t="n">
        <x:f>AE28*'Assumptions'!$B$75</x:f>
        <x:v>8333.333333333334</x:v>
      </x:c>
      <x:c r="AF48" s="34" t="n">
        <x:f>AF28*'Assumptions'!$B$75</x:f>
        <x:v>8333.333333333334</x:v>
      </x:c>
      <x:c r="AG48" s="34" t="n">
        <x:f>AG28*'Assumptions'!$B$75</x:f>
        <x:v>8333.333333333334</x:v>
      </x:c>
      <x:c r="AH48" s="34" t="n">
        <x:f>AH28*'Assumptions'!$B$75</x:f>
        <x:v>8333.333333333334</x:v>
      </x:c>
      <x:c r="AI48" s="34" t="n">
        <x:f>AI28*'Assumptions'!$B$75</x:f>
        <x:v>8333.333333333334</x:v>
      </x:c>
      <x:c r="AJ48" s="34" t="n">
        <x:f>AJ28*'Assumptions'!$B$75</x:f>
        <x:v>8333.333333333334</x:v>
      </x:c>
      <x:c r="AK48" s="34" t="n">
        <x:f>AK28*'Assumptions'!$B$75</x:f>
        <x:v>8333.333333333334</x:v>
      </x:c>
      <x:c r="AL48" s="34" t="n">
        <x:f>AL28*'Assumptions'!$B$75</x:f>
        <x:v>8333.333333333334</x:v>
      </x:c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 t="str">
        <x:v>Other / contingency</x:v>
      </x:c>
      <x:c r="B49" s="7"/>
      <x:c r="C49" s="34" t="n">
        <x:f>C28*'Assumptions'!$B$76</x:f>
        <x:v>2625.0000000000005</x:v>
      </x:c>
      <x:c r="D49" s="34" t="n">
        <x:f>D28*'Assumptions'!$B$76</x:f>
        <x:v>2625.0000000000005</x:v>
      </x:c>
      <x:c r="E49" s="34" t="n">
        <x:f>E28*'Assumptions'!$B$76</x:f>
        <x:v>2625.0000000000005</x:v>
      </x:c>
      <x:c r="F49" s="34" t="n">
        <x:f>F28*'Assumptions'!$B$76</x:f>
        <x:v>2625.0000000000005</x:v>
      </x:c>
      <x:c r="G49" s="34" t="n">
        <x:f>G28*'Assumptions'!$B$76</x:f>
        <x:v>2625.0000000000005</x:v>
      </x:c>
      <x:c r="H49" s="34" t="n">
        <x:f>H28*'Assumptions'!$B$76</x:f>
        <x:v>2625.0000000000005</x:v>
      </x:c>
      <x:c r="I49" s="34" t="n">
        <x:f>I28*'Assumptions'!$B$76</x:f>
        <x:v>2625.0000000000005</x:v>
      </x:c>
      <x:c r="J49" s="34" t="n">
        <x:f>J28*'Assumptions'!$B$76</x:f>
        <x:v>2625.0000000000005</x:v>
      </x:c>
      <x:c r="K49" s="34" t="n">
        <x:f>K28*'Assumptions'!$B$76</x:f>
        <x:v>2625.0000000000005</x:v>
      </x:c>
      <x:c r="L49" s="34" t="n">
        <x:f>L28*'Assumptions'!$B$76</x:f>
        <x:v>2625.0000000000005</x:v>
      </x:c>
      <x:c r="M49" s="34" t="n">
        <x:f>M28*'Assumptions'!$B$76</x:f>
        <x:v>2625.0000000000005</x:v>
      </x:c>
      <x:c r="N49" s="34" t="n">
        <x:f>N28*'Assumptions'!$B$76</x:f>
        <x:v>2625.0000000000005</x:v>
      </x:c>
      <x:c r="O49" s="34" t="n">
        <x:f>O28*'Assumptions'!$B$76</x:f>
        <x:v>5250.000000000001</x:v>
      </x:c>
      <x:c r="P49" s="34" t="n">
        <x:f>P28*'Assumptions'!$B$76</x:f>
        <x:v>5250.000000000001</x:v>
      </x:c>
      <x:c r="Q49" s="34" t="n">
        <x:f>Q28*'Assumptions'!$B$76</x:f>
        <x:v>5250.000000000001</x:v>
      </x:c>
      <x:c r="R49" s="34" t="n">
        <x:f>R28*'Assumptions'!$B$76</x:f>
        <x:v>5250.000000000001</x:v>
      </x:c>
      <x:c r="S49" s="34" t="n">
        <x:f>S28*'Assumptions'!$B$76</x:f>
        <x:v>5250.000000000001</x:v>
      </x:c>
      <x:c r="T49" s="34" t="n">
        <x:f>T28*'Assumptions'!$B$76</x:f>
        <x:v>5250.000000000001</x:v>
      </x:c>
      <x:c r="U49" s="34" t="n">
        <x:f>U28*'Assumptions'!$B$76</x:f>
        <x:v>5250.000000000001</x:v>
      </x:c>
      <x:c r="V49" s="34" t="n">
        <x:f>V28*'Assumptions'!$B$76</x:f>
        <x:v>5250.000000000001</x:v>
      </x:c>
      <x:c r="W49" s="34" t="n">
        <x:f>W28*'Assumptions'!$B$76</x:f>
        <x:v>5250.000000000001</x:v>
      </x:c>
      <x:c r="X49" s="34" t="n">
        <x:f>X28*'Assumptions'!$B$76</x:f>
        <x:v>5250.000000000001</x:v>
      </x:c>
      <x:c r="Y49" s="34" t="n">
        <x:f>Y28*'Assumptions'!$B$76</x:f>
        <x:v>5250.000000000001</x:v>
      </x:c>
      <x:c r="Z49" s="34" t="n">
        <x:f>Z28*'Assumptions'!$B$76</x:f>
        <x:v>5250.000000000001</x:v>
      </x:c>
      <x:c r="AA49" s="34" t="n">
        <x:f>AA28*'Assumptions'!$B$76</x:f>
        <x:v>11666.666666666668</x:v>
      </x:c>
      <x:c r="AB49" s="34" t="n">
        <x:f>AB28*'Assumptions'!$B$76</x:f>
        <x:v>11666.666666666668</x:v>
      </x:c>
      <x:c r="AC49" s="34" t="n">
        <x:f>AC28*'Assumptions'!$B$76</x:f>
        <x:v>11666.666666666668</x:v>
      </x:c>
      <x:c r="AD49" s="34" t="n">
        <x:f>AD28*'Assumptions'!$B$76</x:f>
        <x:v>11666.666666666668</x:v>
      </x:c>
      <x:c r="AE49" s="34" t="n">
        <x:f>AE28*'Assumptions'!$B$76</x:f>
        <x:v>11666.666666666668</x:v>
      </x:c>
      <x:c r="AF49" s="34" t="n">
        <x:f>AF28*'Assumptions'!$B$76</x:f>
        <x:v>11666.666666666668</x:v>
      </x:c>
      <x:c r="AG49" s="34" t="n">
        <x:f>AG28*'Assumptions'!$B$76</x:f>
        <x:v>11666.666666666668</x:v>
      </x:c>
      <x:c r="AH49" s="34" t="n">
        <x:f>AH28*'Assumptions'!$B$76</x:f>
        <x:v>11666.666666666668</x:v>
      </x:c>
      <x:c r="AI49" s="34" t="n">
        <x:f>AI28*'Assumptions'!$B$76</x:f>
        <x:v>11666.666666666668</x:v>
      </x:c>
      <x:c r="AJ49" s="34" t="n">
        <x:f>AJ28*'Assumptions'!$B$76</x:f>
        <x:v>11666.666666666668</x:v>
      </x:c>
      <x:c r="AK49" s="34" t="n">
        <x:f>AK28*'Assumptions'!$B$76</x:f>
        <x:v>11666.666666666668</x:v>
      </x:c>
      <x:c r="AL49" s="34" t="n">
        <x:f>AL28*'Assumptions'!$B$76</x:f>
        <x:v>11666.666666666668</x:v>
      </x:c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36" t="str">
        <x:v>Распределённый OPEX</x:v>
      </x:c>
      <x:c r="B50" s="36"/>
      <x:c r="C50" s="37" t="n">
        <x:f>SUM(C44:C49)</x:f>
        <x:v>37500</x:v>
      </x:c>
      <x:c r="D50" s="37" t="n">
        <x:f>SUM(D44:D49)</x:f>
        <x:v>37500</x:v>
      </x:c>
      <x:c r="E50" s="37" t="n">
        <x:f>SUM(E44:E49)</x:f>
        <x:v>37500</x:v>
      </x:c>
      <x:c r="F50" s="37" t="n">
        <x:f>SUM(F44:F49)</x:f>
        <x:v>37500</x:v>
      </x:c>
      <x:c r="G50" s="37" t="n">
        <x:f>SUM(G44:G49)</x:f>
        <x:v>37500</x:v>
      </x:c>
      <x:c r="H50" s="37" t="n">
        <x:f>SUM(H44:H49)</x:f>
        <x:v>37500</x:v>
      </x:c>
      <x:c r="I50" s="37" t="n">
        <x:f>SUM(I44:I49)</x:f>
        <x:v>37500</x:v>
      </x:c>
      <x:c r="J50" s="37" t="n">
        <x:f>SUM(J44:J49)</x:f>
        <x:v>37500</x:v>
      </x:c>
      <x:c r="K50" s="37" t="n">
        <x:f>SUM(K44:K49)</x:f>
        <x:v>37500</x:v>
      </x:c>
      <x:c r="L50" s="37" t="n">
        <x:f>SUM(L44:L49)</x:f>
        <x:v>37500</x:v>
      </x:c>
      <x:c r="M50" s="37" t="n">
        <x:f>SUM(M44:M49)</x:f>
        <x:v>37500</x:v>
      </x:c>
      <x:c r="N50" s="37" t="n">
        <x:f>SUM(N44:N49)</x:f>
        <x:v>37500</x:v>
      </x:c>
      <x:c r="O50" s="37" t="n">
        <x:f>SUM(O44:O49)</x:f>
        <x:v>75000</x:v>
      </x:c>
      <x:c r="P50" s="37" t="n">
        <x:f>SUM(P44:P49)</x:f>
        <x:v>75000</x:v>
      </x:c>
      <x:c r="Q50" s="37" t="n">
        <x:f>SUM(Q44:Q49)</x:f>
        <x:v>75000</x:v>
      </x:c>
      <x:c r="R50" s="37" t="n">
        <x:f>SUM(R44:R49)</x:f>
        <x:v>75000</x:v>
      </x:c>
      <x:c r="S50" s="37" t="n">
        <x:f>SUM(S44:S49)</x:f>
        <x:v>75000</x:v>
      </x:c>
      <x:c r="T50" s="37" t="n">
        <x:f>SUM(T44:T49)</x:f>
        <x:v>75000</x:v>
      </x:c>
      <x:c r="U50" s="37" t="n">
        <x:f>SUM(U44:U49)</x:f>
        <x:v>75000</x:v>
      </x:c>
      <x:c r="V50" s="37" t="n">
        <x:f>SUM(V44:V49)</x:f>
        <x:v>75000</x:v>
      </x:c>
      <x:c r="W50" s="37" t="n">
        <x:f>SUM(W44:W49)</x:f>
        <x:v>75000</x:v>
      </x:c>
      <x:c r="X50" s="37" t="n">
        <x:f>SUM(X44:X49)</x:f>
        <x:v>75000</x:v>
      </x:c>
      <x:c r="Y50" s="37" t="n">
        <x:f>SUM(Y44:Y49)</x:f>
        <x:v>75000</x:v>
      </x:c>
      <x:c r="Z50" s="37" t="n">
        <x:f>SUM(Z44:Z49)</x:f>
        <x:v>75000</x:v>
      </x:c>
      <x:c r="AA50" s="37" t="n">
        <x:f>SUM(AA44:AA49)</x:f>
        <x:v>166666.66666666666</x:v>
      </x:c>
      <x:c r="AB50" s="37" t="n">
        <x:f>SUM(AB44:AB49)</x:f>
        <x:v>166666.66666666666</x:v>
      </x:c>
      <x:c r="AC50" s="37" t="n">
        <x:f>SUM(AC44:AC49)</x:f>
        <x:v>166666.66666666666</x:v>
      </x:c>
      <x:c r="AD50" s="37" t="n">
        <x:f>SUM(AD44:AD49)</x:f>
        <x:v>166666.66666666666</x:v>
      </x:c>
      <x:c r="AE50" s="37" t="n">
        <x:f>SUM(AE44:AE49)</x:f>
        <x:v>166666.66666666666</x:v>
      </x:c>
      <x:c r="AF50" s="37" t="n">
        <x:f>SUM(AF44:AF49)</x:f>
        <x:v>166666.66666666666</x:v>
      </x:c>
      <x:c r="AG50" s="37" t="n">
        <x:f>SUM(AG44:AG49)</x:f>
        <x:v>166666.66666666666</x:v>
      </x:c>
      <x:c r="AH50" s="37" t="n">
        <x:f>SUM(AH44:AH49)</x:f>
        <x:v>166666.66666666666</x:v>
      </x:c>
      <x:c r="AI50" s="37" t="n">
        <x:f>SUM(AI44:AI49)</x:f>
        <x:v>166666.66666666666</x:v>
      </x:c>
      <x:c r="AJ50" s="37" t="n">
        <x:f>SUM(AJ44:AJ49)</x:f>
        <x:v>166666.66666666666</x:v>
      </x:c>
      <x:c r="AK50" s="37" t="n">
        <x:f>SUM(AK44:AK49)</x:f>
        <x:v>166666.66666666666</x:v>
      </x:c>
      <x:c r="AL50" s="37" t="n">
        <x:f>SUM(AL44:AL49)</x:f>
        <x:v>166666.66666666666</x:v>
      </x:c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8" t="str">
        <x:v>Проверка OPEX</x:v>
      </x:c>
      <x:c r="B51" s="8"/>
      <x:c r="C51" s="35" t="n">
        <x:f>C50-C28</x:f>
        <x:v>0</x:v>
      </x:c>
      <x:c r="D51" s="35" t="n">
        <x:f>D50-D28</x:f>
        <x:v>0</x:v>
      </x:c>
      <x:c r="E51" s="35" t="n">
        <x:f>E50-E28</x:f>
        <x:v>0</x:v>
      </x:c>
      <x:c r="F51" s="35" t="n">
        <x:f>F50-F28</x:f>
        <x:v>0</x:v>
      </x:c>
      <x:c r="G51" s="35" t="n">
        <x:f>G50-G28</x:f>
        <x:v>0</x:v>
      </x:c>
      <x:c r="H51" s="35" t="n">
        <x:f>H50-H28</x:f>
        <x:v>0</x:v>
      </x:c>
      <x:c r="I51" s="35" t="n">
        <x:f>I50-I28</x:f>
        <x:v>0</x:v>
      </x:c>
      <x:c r="J51" s="35" t="n">
        <x:f>J50-J28</x:f>
        <x:v>0</x:v>
      </x:c>
      <x:c r="K51" s="35" t="n">
        <x:f>K50-K28</x:f>
        <x:v>0</x:v>
      </x:c>
      <x:c r="L51" s="35" t="n">
        <x:f>L50-L28</x:f>
        <x:v>0</x:v>
      </x:c>
      <x:c r="M51" s="35" t="n">
        <x:f>M50-M28</x:f>
        <x:v>0</x:v>
      </x:c>
      <x:c r="N51" s="35" t="n">
        <x:f>N50-N28</x:f>
        <x:v>0</x:v>
      </x:c>
      <x:c r="O51" s="35" t="n">
        <x:f>O50-O28</x:f>
        <x:v>0</x:v>
      </x:c>
      <x:c r="P51" s="35" t="n">
        <x:f>P50-P28</x:f>
        <x:v>0</x:v>
      </x:c>
      <x:c r="Q51" s="35" t="n">
        <x:f>Q50-Q28</x:f>
        <x:v>0</x:v>
      </x:c>
      <x:c r="R51" s="35" t="n">
        <x:f>R50-R28</x:f>
        <x:v>0</x:v>
      </x:c>
      <x:c r="S51" s="35" t="n">
        <x:f>S50-S28</x:f>
        <x:v>0</x:v>
      </x:c>
      <x:c r="T51" s="35" t="n">
        <x:f>T50-T28</x:f>
        <x:v>0</x:v>
      </x:c>
      <x:c r="U51" s="35" t="n">
        <x:f>U50-U28</x:f>
        <x:v>0</x:v>
      </x:c>
      <x:c r="V51" s="35" t="n">
        <x:f>V50-V28</x:f>
        <x:v>0</x:v>
      </x:c>
      <x:c r="W51" s="35" t="n">
        <x:f>W50-W28</x:f>
        <x:v>0</x:v>
      </x:c>
      <x:c r="X51" s="35" t="n">
        <x:f>X50-X28</x:f>
        <x:v>0</x:v>
      </x:c>
      <x:c r="Y51" s="35" t="n">
        <x:f>Y50-Y28</x:f>
        <x:v>0</x:v>
      </x:c>
      <x:c r="Z51" s="35" t="n">
        <x:f>Z50-Z28</x:f>
        <x:v>0</x:v>
      </x:c>
      <x:c r="AA51" s="35" t="n">
        <x:f>AA50-AA28</x:f>
        <x:v>0</x:v>
      </x:c>
      <x:c r="AB51" s="35" t="n">
        <x:f>AB50-AB28</x:f>
        <x:v>0</x:v>
      </x:c>
      <x:c r="AC51" s="35" t="n">
        <x:f>AC50-AC28</x:f>
        <x:v>0</x:v>
      </x:c>
      <x:c r="AD51" s="35" t="n">
        <x:f>AD50-AD28</x:f>
        <x:v>0</x:v>
      </x:c>
      <x:c r="AE51" s="35" t="n">
        <x:f>AE50-AE28</x:f>
        <x:v>0</x:v>
      </x:c>
      <x:c r="AF51" s="35" t="n">
        <x:f>AF50-AF28</x:f>
        <x:v>0</x:v>
      </x:c>
      <x:c r="AG51" s="35" t="n">
        <x:f>AG50-AG28</x:f>
        <x:v>0</x:v>
      </x:c>
      <x:c r="AH51" s="35" t="n">
        <x:f>AH50-AH28</x:f>
        <x:v>0</x:v>
      </x:c>
      <x:c r="AI51" s="35" t="n">
        <x:f>AI50-AI28</x:f>
        <x:v>0</x:v>
      </x:c>
      <x:c r="AJ51" s="35" t="n">
        <x:f>AJ50-AJ28</x:f>
        <x:v>0</x:v>
      </x:c>
      <x:c r="AK51" s="35" t="n">
        <x:f>AK50-AK28</x:f>
        <x:v>0</x:v>
      </x:c>
      <x:c r="AL51" s="35" t="n">
        <x:f>AL50-AL28</x:f>
        <x:v>0</x:v>
      </x:c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34"/>
      <x:c r="AG52" s="34"/>
      <x:c r="AH52" s="34"/>
      <x:c r="AI52" s="34"/>
      <x:c r="AJ52" s="34"/>
      <x:c r="AK52" s="34"/>
      <x:c r="AL52" s="34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 ht="23" customHeight="1">
      <x:c r="A53" s="61" t="str">
        <x:v>Диагностика продаж</x:v>
      </x:c>
      <x:c r="B53" s="61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  <x:c r="N53" s="63"/>
      <x:c r="O53" s="63"/>
      <x:c r="P53" s="63"/>
      <x:c r="Q53" s="63"/>
      <x:c r="R53" s="63"/>
      <x:c r="S53" s="63"/>
      <x:c r="T53" s="63"/>
      <x:c r="U53" s="63"/>
      <x:c r="V53" s="63"/>
      <x:c r="W53" s="63"/>
      <x:c r="X53" s="63"/>
      <x:c r="Y53" s="63"/>
      <x:c r="Z53" s="63"/>
      <x:c r="AA53" s="63"/>
      <x:c r="AB53" s="63"/>
      <x:c r="AC53" s="63"/>
      <x:c r="AD53" s="63"/>
      <x:c r="AE53" s="63"/>
      <x:c r="AF53" s="63"/>
      <x:c r="AG53" s="63"/>
      <x:c r="AH53" s="63"/>
      <x:c r="AI53" s="63"/>
      <x:c r="AJ53" s="63"/>
      <x:c r="AK53" s="63"/>
      <x:c r="AL53" s="63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 t="str">
        <x:v>Implied acquisition cash</x:v>
      </x:c>
      <x:c r="B54" s="7"/>
      <x:c r="C54" s="34" t="n">
        <x:f>C9*'Assumptions'!$B$40</x:f>
        <x:v>5600</x:v>
      </x:c>
      <x:c r="D54" s="34" t="n">
        <x:f>D9*'Assumptions'!$B$40</x:f>
        <x:v>5600</x:v>
      </x:c>
      <x:c r="E54" s="34" t="n">
        <x:f>E9*'Assumptions'!$B$40</x:f>
        <x:v>5600</x:v>
      </x:c>
      <x:c r="F54" s="34" t="n">
        <x:f>F9*'Assumptions'!$B$40</x:f>
        <x:v>5600</x:v>
      </x:c>
      <x:c r="G54" s="34" t="n">
        <x:f>G9*'Assumptions'!$B$40</x:f>
        <x:v>5600</x:v>
      </x:c>
      <x:c r="H54" s="34" t="n">
        <x:f>H9*'Assumptions'!$B$40</x:f>
        <x:v>5600</x:v>
      </x:c>
      <x:c r="I54" s="34" t="n">
        <x:f>I9*'Assumptions'!$B$40</x:f>
        <x:v>11200</x:v>
      </x:c>
      <x:c r="J54" s="34" t="n">
        <x:f>J9*'Assumptions'!$B$40</x:f>
        <x:v>11200</x:v>
      </x:c>
      <x:c r="K54" s="34" t="n">
        <x:f>K9*'Assumptions'!$B$40</x:f>
        <x:v>11200</x:v>
      </x:c>
      <x:c r="L54" s="34" t="n">
        <x:f>L9*'Assumptions'!$B$40</x:f>
        <x:v>11200</x:v>
      </x:c>
      <x:c r="M54" s="34" t="n">
        <x:f>M9*'Assumptions'!$B$40</x:f>
        <x:v>11200</x:v>
      </x:c>
      <x:c r="N54" s="34" t="n">
        <x:f>N9*'Assumptions'!$B$40</x:f>
        <x:v>11200</x:v>
      </x:c>
      <x:c r="O54" s="34" t="n">
        <x:f>O9*'Assumptions'!$B$40</x:f>
        <x:v>23800</x:v>
      </x:c>
      <x:c r="P54" s="34" t="n">
        <x:f>P9*'Assumptions'!$B$40</x:f>
        <x:v>23800</x:v>
      </x:c>
      <x:c r="Q54" s="34" t="n">
        <x:f>Q9*'Assumptions'!$B$40</x:f>
        <x:v>23800</x:v>
      </x:c>
      <x:c r="R54" s="34" t="n">
        <x:f>R9*'Assumptions'!$B$40</x:f>
        <x:v>23800</x:v>
      </x:c>
      <x:c r="S54" s="34" t="n">
        <x:f>S9*'Assumptions'!$B$40</x:f>
        <x:v>23800</x:v>
      </x:c>
      <x:c r="T54" s="34" t="n">
        <x:f>T9*'Assumptions'!$B$40</x:f>
        <x:v>23800</x:v>
      </x:c>
      <x:c r="U54" s="34" t="n">
        <x:f>U9*'Assumptions'!$B$40</x:f>
        <x:v>23800</x:v>
      </x:c>
      <x:c r="V54" s="34" t="n">
        <x:f>V9*'Assumptions'!$B$40</x:f>
        <x:v>23800</x:v>
      </x:c>
      <x:c r="W54" s="34" t="n">
        <x:f>W9*'Assumptions'!$B$40</x:f>
        <x:v>23800</x:v>
      </x:c>
      <x:c r="X54" s="34" t="n">
        <x:f>X9*'Assumptions'!$B$40</x:f>
        <x:v>23800</x:v>
      </x:c>
      <x:c r="Y54" s="34" t="n">
        <x:f>Y9*'Assumptions'!$B$40</x:f>
        <x:v>23800</x:v>
      </x:c>
      <x:c r="Z54" s="34" t="n">
        <x:f>Z9*'Assumptions'!$B$40</x:f>
        <x:v>23800</x:v>
      </x:c>
      <x:c r="AA54" s="34" t="n">
        <x:f>AA9*'Assumptions'!$B$40</x:f>
        <x:v>54600</x:v>
      </x:c>
      <x:c r="AB54" s="34" t="n">
        <x:f>AB9*'Assumptions'!$B$40</x:f>
        <x:v>54600</x:v>
      </x:c>
      <x:c r="AC54" s="34" t="n">
        <x:f>AC9*'Assumptions'!$B$40</x:f>
        <x:v>54600</x:v>
      </x:c>
      <x:c r="AD54" s="34" t="n">
        <x:f>AD9*'Assumptions'!$B$40</x:f>
        <x:v>54600</x:v>
      </x:c>
      <x:c r="AE54" s="34" t="n">
        <x:f>AE9*'Assumptions'!$B$40</x:f>
        <x:v>54600</x:v>
      </x:c>
      <x:c r="AF54" s="34" t="n">
        <x:f>AF9*'Assumptions'!$B$40</x:f>
        <x:v>54600</x:v>
      </x:c>
      <x:c r="AG54" s="34" t="n">
        <x:f>AG9*'Assumptions'!$B$40</x:f>
        <x:v>54600</x:v>
      </x:c>
      <x:c r="AH54" s="34" t="n">
        <x:f>AH9*'Assumptions'!$B$40</x:f>
        <x:v>54600</x:v>
      </x:c>
      <x:c r="AI54" s="34" t="n">
        <x:f>AI9*'Assumptions'!$B$40</x:f>
        <x:v>54600</x:v>
      </x:c>
      <x:c r="AJ54" s="34" t="n">
        <x:f>AJ9*'Assumptions'!$B$40</x:f>
        <x:v>54600</x:v>
      </x:c>
      <x:c r="AK54" s="34" t="n">
        <x:f>AK9*'Assumptions'!$B$40</x:f>
        <x:v>54600</x:v>
      </x:c>
      <x:c r="AL54" s="34" t="n">
        <x:f>AL9*'Assumptions'!$B$40</x:f>
        <x:v>54600</x:v>
      </x:c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 t="str">
        <x:v>Sales &amp; marketing budget</x:v>
      </x:c>
      <x:c r="B55" s="7"/>
      <x:c r="C55" s="34" t="n">
        <x:f>C46</x:f>
        <x:v>3750</x:v>
      </x:c>
      <x:c r="D55" s="34" t="n">
        <x:f>D46</x:f>
        <x:v>3750</x:v>
      </x:c>
      <x:c r="E55" s="34" t="n">
        <x:f>E46</x:f>
        <x:v>3750</x:v>
      </x:c>
      <x:c r="F55" s="34" t="n">
        <x:f>F46</x:f>
        <x:v>3750</x:v>
      </x:c>
      <x:c r="G55" s="34" t="n">
        <x:f>G46</x:f>
        <x:v>3750</x:v>
      </x:c>
      <x:c r="H55" s="34" t="n">
        <x:f>H46</x:f>
        <x:v>3750</x:v>
      </x:c>
      <x:c r="I55" s="34" t="n">
        <x:f>I46</x:f>
        <x:v>3750</x:v>
      </x:c>
      <x:c r="J55" s="34" t="n">
        <x:f>J46</x:f>
        <x:v>3750</x:v>
      </x:c>
      <x:c r="K55" s="34" t="n">
        <x:f>K46</x:f>
        <x:v>3750</x:v>
      </x:c>
      <x:c r="L55" s="34" t="n">
        <x:f>L46</x:f>
        <x:v>3750</x:v>
      </x:c>
      <x:c r="M55" s="34" t="n">
        <x:f>M46</x:f>
        <x:v>3750</x:v>
      </x:c>
      <x:c r="N55" s="34" t="n">
        <x:f>N46</x:f>
        <x:v>3750</x:v>
      </x:c>
      <x:c r="O55" s="34" t="n">
        <x:f>O46</x:f>
        <x:v>7500</x:v>
      </x:c>
      <x:c r="P55" s="34" t="n">
        <x:f>P46</x:f>
        <x:v>7500</x:v>
      </x:c>
      <x:c r="Q55" s="34" t="n">
        <x:f>Q46</x:f>
        <x:v>7500</x:v>
      </x:c>
      <x:c r="R55" s="34" t="n">
        <x:f>R46</x:f>
        <x:v>7500</x:v>
      </x:c>
      <x:c r="S55" s="34" t="n">
        <x:f>S46</x:f>
        <x:v>7500</x:v>
      </x:c>
      <x:c r="T55" s="34" t="n">
        <x:f>T46</x:f>
        <x:v>7500</x:v>
      </x:c>
      <x:c r="U55" s="34" t="n">
        <x:f>U46</x:f>
        <x:v>7500</x:v>
      </x:c>
      <x:c r="V55" s="34" t="n">
        <x:f>V46</x:f>
        <x:v>7500</x:v>
      </x:c>
      <x:c r="W55" s="34" t="n">
        <x:f>W46</x:f>
        <x:v>7500</x:v>
      </x:c>
      <x:c r="X55" s="34" t="n">
        <x:f>X46</x:f>
        <x:v>7500</x:v>
      </x:c>
      <x:c r="Y55" s="34" t="n">
        <x:f>Y46</x:f>
        <x:v>7500</x:v>
      </x:c>
      <x:c r="Z55" s="34" t="n">
        <x:f>Z46</x:f>
        <x:v>7500</x:v>
      </x:c>
      <x:c r="AA55" s="34" t="n">
        <x:f>AA46</x:f>
        <x:v>16666.666666666668</x:v>
      </x:c>
      <x:c r="AB55" s="34" t="n">
        <x:f>AB46</x:f>
        <x:v>16666.666666666668</x:v>
      </x:c>
      <x:c r="AC55" s="34" t="n">
        <x:f>AC46</x:f>
        <x:v>16666.666666666668</x:v>
      </x:c>
      <x:c r="AD55" s="34" t="n">
        <x:f>AD46</x:f>
        <x:v>16666.666666666668</x:v>
      </x:c>
      <x:c r="AE55" s="34" t="n">
        <x:f>AE46</x:f>
        <x:v>16666.666666666668</x:v>
      </x:c>
      <x:c r="AF55" s="34" t="n">
        <x:f>AF46</x:f>
        <x:v>16666.666666666668</x:v>
      </x:c>
      <x:c r="AG55" s="34" t="n">
        <x:f>AG46</x:f>
        <x:v>16666.666666666668</x:v>
      </x:c>
      <x:c r="AH55" s="34" t="n">
        <x:f>AH46</x:f>
        <x:v>16666.666666666668</x:v>
      </x:c>
      <x:c r="AI55" s="34" t="n">
        <x:f>AI46</x:f>
        <x:v>16666.666666666668</x:v>
      </x:c>
      <x:c r="AJ55" s="34" t="n">
        <x:f>AJ46</x:f>
        <x:v>16666.666666666668</x:v>
      </x:c>
      <x:c r="AK55" s="34" t="n">
        <x:f>AK46</x:f>
        <x:v>16666.666666666668</x:v>
      </x:c>
      <x:c r="AL55" s="34" t="n">
        <x:f>AL46</x:f>
        <x:v>16666.666666666668</x:v>
      </x:c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 t="str">
        <x:v>Покрытие acquisition budget</x:v>
      </x:c>
      <x:c r="B56" s="7"/>
      <x:c r="C56" s="38" t="n">
        <x:f>IF(C54=0,0,C55/C54)</x:f>
        <x:v>0.6696428571428571</x:v>
      </x:c>
      <x:c r="D56" s="38" t="n">
        <x:f>IF(D54=0,0,D55/D54)</x:f>
        <x:v>0.6696428571428571</x:v>
      </x:c>
      <x:c r="E56" s="38" t="n">
        <x:f>IF(E54=0,0,E55/E54)</x:f>
        <x:v>0.6696428571428571</x:v>
      </x:c>
      <x:c r="F56" s="38" t="n">
        <x:f>IF(F54=0,0,F55/F54)</x:f>
        <x:v>0.6696428571428571</x:v>
      </x:c>
      <x:c r="G56" s="38" t="n">
        <x:f>IF(G54=0,0,G55/G54)</x:f>
        <x:v>0.6696428571428571</x:v>
      </x:c>
      <x:c r="H56" s="38" t="n">
        <x:f>IF(H54=0,0,H55/H54)</x:f>
        <x:v>0.6696428571428571</x:v>
      </x:c>
      <x:c r="I56" s="38" t="n">
        <x:f>IF(I54=0,0,I55/I54)</x:f>
        <x:v>0.33482142857142855</x:v>
      </x:c>
      <x:c r="J56" s="38" t="n">
        <x:f>IF(J54=0,0,J55/J54)</x:f>
        <x:v>0.33482142857142855</x:v>
      </x:c>
      <x:c r="K56" s="38" t="n">
        <x:f>IF(K54=0,0,K55/K54)</x:f>
        <x:v>0.33482142857142855</x:v>
      </x:c>
      <x:c r="L56" s="38" t="n">
        <x:f>IF(L54=0,0,L55/L54)</x:f>
        <x:v>0.33482142857142855</x:v>
      </x:c>
      <x:c r="M56" s="38" t="n">
        <x:f>IF(M54=0,0,M55/M54)</x:f>
        <x:v>0.33482142857142855</x:v>
      </x:c>
      <x:c r="N56" s="38" t="n">
        <x:f>IF(N54=0,0,N55/N54)</x:f>
        <x:v>0.33482142857142855</x:v>
      </x:c>
      <x:c r="O56" s="38" t="n">
        <x:f>IF(O54=0,0,O55/O54)</x:f>
        <x:v>0.31512605042016806</x:v>
      </x:c>
      <x:c r="P56" s="38" t="n">
        <x:f>IF(P54=0,0,P55/P54)</x:f>
        <x:v>0.31512605042016806</x:v>
      </x:c>
      <x:c r="Q56" s="38" t="n">
        <x:f>IF(Q54=0,0,Q55/Q54)</x:f>
        <x:v>0.31512605042016806</x:v>
      </x:c>
      <x:c r="R56" s="38" t="n">
        <x:f>IF(R54=0,0,R55/R54)</x:f>
        <x:v>0.31512605042016806</x:v>
      </x:c>
      <x:c r="S56" s="38" t="n">
        <x:f>IF(S54=0,0,S55/S54)</x:f>
        <x:v>0.31512605042016806</x:v>
      </x:c>
      <x:c r="T56" s="38" t="n">
        <x:f>IF(T54=0,0,T55/T54)</x:f>
        <x:v>0.31512605042016806</x:v>
      </x:c>
      <x:c r="U56" s="38" t="n">
        <x:f>IF(U54=0,0,U55/U54)</x:f>
        <x:v>0.31512605042016806</x:v>
      </x:c>
      <x:c r="V56" s="38" t="n">
        <x:f>IF(V54=0,0,V55/V54)</x:f>
        <x:v>0.31512605042016806</x:v>
      </x:c>
      <x:c r="W56" s="38" t="n">
        <x:f>IF(W54=0,0,W55/W54)</x:f>
        <x:v>0.31512605042016806</x:v>
      </x:c>
      <x:c r="X56" s="38" t="n">
        <x:f>IF(X54=0,0,X55/X54)</x:f>
        <x:v>0.31512605042016806</x:v>
      </x:c>
      <x:c r="Y56" s="38" t="n">
        <x:f>IF(Y54=0,0,Y55/Y54)</x:f>
        <x:v>0.31512605042016806</x:v>
      </x:c>
      <x:c r="Z56" s="38" t="n">
        <x:f>IF(Z54=0,0,Z55/Z54)</x:f>
        <x:v>0.31512605042016806</x:v>
      </x:c>
      <x:c r="AA56" s="38" t="n">
        <x:f>IF(AA54=0,0,AA55/AA54)</x:f>
        <x:v>0.3052503052503053</x:v>
      </x:c>
      <x:c r="AB56" s="38" t="n">
        <x:f>IF(AB54=0,0,AB55/AB54)</x:f>
        <x:v>0.3052503052503053</x:v>
      </x:c>
      <x:c r="AC56" s="38" t="n">
        <x:f>IF(AC54=0,0,AC55/AC54)</x:f>
        <x:v>0.3052503052503053</x:v>
      </x:c>
      <x:c r="AD56" s="38" t="n">
        <x:f>IF(AD54=0,0,AD55/AD54)</x:f>
        <x:v>0.3052503052503053</x:v>
      </x:c>
      <x:c r="AE56" s="38" t="n">
        <x:f>IF(AE54=0,0,AE55/AE54)</x:f>
        <x:v>0.3052503052503053</x:v>
      </x:c>
      <x:c r="AF56" s="38" t="n">
        <x:f>IF(AF54=0,0,AF55/AF54)</x:f>
        <x:v>0.3052503052503053</x:v>
      </x:c>
      <x:c r="AG56" s="38" t="n">
        <x:f>IF(AG54=0,0,AG55/AG54)</x:f>
        <x:v>0.3052503052503053</x:v>
      </x:c>
      <x:c r="AH56" s="38" t="n">
        <x:f>IF(AH54=0,0,AH55/AH54)</x:f>
        <x:v>0.3052503052503053</x:v>
      </x:c>
      <x:c r="AI56" s="38" t="n">
        <x:f>IF(AI54=0,0,AI55/AI54)</x:f>
        <x:v>0.3052503052503053</x:v>
      </x:c>
      <x:c r="AJ56" s="38" t="n">
        <x:f>IF(AJ54=0,0,AJ55/AJ54)</x:f>
        <x:v>0.3052503052503053</x:v>
      </x:c>
      <x:c r="AK56" s="38" t="n">
        <x:f>IF(AK54=0,0,AK55/AK54)</x:f>
        <x:v>0.3052503052503053</x:v>
      </x:c>
      <x:c r="AL56" s="38" t="n">
        <x:f>IF(AL54=0,0,AL55/AL54)</x:f>
        <x:v>0.3052503052503053</x:v>
      </x:c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AL1"/>
    <x:mergeCell ref="A7:AL7"/>
    <x:mergeCell ref="A8:B8"/>
    <x:mergeCell ref="A9:B9"/>
    <x:mergeCell ref="A10:B10"/>
    <x:mergeCell ref="A11:B11"/>
    <x:mergeCell ref="A12:B12"/>
    <x:mergeCell ref="A13:B13"/>
    <x:mergeCell ref="A16:B16"/>
    <x:mergeCell ref="A17:B17"/>
    <x:mergeCell ref="A18:B18"/>
    <x:mergeCell ref="A19:B19"/>
    <x:mergeCell ref="A22:B22"/>
    <x:mergeCell ref="A23:B23"/>
    <x:mergeCell ref="A24:B24"/>
    <x:mergeCell ref="A25:B25"/>
    <x:mergeCell ref="A28:B28"/>
    <x:mergeCell ref="A29:B29"/>
    <x:mergeCell ref="A30:B30"/>
    <x:mergeCell ref="A32:B32"/>
    <x:mergeCell ref="A33:B33"/>
    <x:mergeCell ref="A34:B34"/>
    <x:mergeCell ref="A35:B35"/>
    <x:mergeCell ref="A36:B36"/>
    <x:mergeCell ref="A37:B37"/>
    <x:mergeCell ref="A38:B38"/>
    <x:mergeCell ref="A39:B39"/>
    <x:mergeCell ref="A40:B40"/>
    <x:mergeCell ref="A41:B41"/>
    <x:mergeCell ref="A42:B42"/>
    <x:mergeCell ref="A44:B44"/>
    <x:mergeCell ref="A45:B45"/>
    <x:mergeCell ref="A46:B46"/>
    <x:mergeCell ref="A47:B47"/>
    <x:mergeCell ref="A48:B48"/>
    <x:mergeCell ref="A49:B49"/>
    <x:mergeCell ref="A50:B50"/>
    <x:mergeCell ref="A51:B51"/>
    <x:mergeCell ref="A54:B54"/>
    <x:mergeCell ref="A55:B55"/>
    <x:mergeCell ref="A56:B56"/>
    <x:mergeCell ref="A15:AL15"/>
    <x:mergeCell ref="A21:AL21"/>
    <x:mergeCell ref="A27:AL27"/>
    <x:mergeCell ref="A31:AL31"/>
    <x:mergeCell ref="A43:AL43"/>
    <x:mergeCell ref="A53:AL53"/>
  </x:mergeCells>
  <x:conditionalFormatting sqref="C29:AL29">
    <x:cfRule type="cellIs" dxfId="0" priority="1" operator="lessThan">
      <x:formula>0</x:formula>
    </x:cfRule>
  </x:conditionalFormatting>
  <x:conditionalFormatting sqref="C39:AL3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6" t="str">
        <x:v>Nail Profit OS — Сравнение сценариев</x:v>
      </x:c>
      <x:c r="B1" s="6"/>
      <x:c r="C1" s="6"/>
      <x:c r="D1" s="6"/>
      <x:c r="E1" s="6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 ht="23" customHeight="1">
      <x:c r="A3" s="16" t="str">
        <x:v>36-месячный итог до налогов</x:v>
      </x:c>
      <x:c r="B3" s="16"/>
      <x:c r="C3" s="16"/>
      <x:c r="D3" s="16"/>
      <x:c r="E3" s="16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21" t="str">
        <x:v>Сценарий</x:v>
      </x:c>
      <x:c r="B4" s="21" t="str">
        <x:v>Выручка 3 года</x:v>
      </x:c>
      <x:c r="C4" s="21" t="str">
        <x:v>EBITDA 3 года</x:v>
      </x:c>
      <x:c r="D4" s="21" t="str">
        <x:v>Стартовый ресурс</x:v>
      </x:c>
      <x:c r="E4" s="21" t="str">
        <x:v>Мин. годовой cash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8" t="str">
        <x:v>Conservative</x:v>
      </x:c>
      <x:c r="B5" s="34" t="n">
        <x:f>SUM(B14:D14)</x:f>
        <x:v>1060800</x:v>
      </x:c>
      <x:c r="C5" s="34" t="n">
        <x:f>SUM(B19:D19)</x:f>
        <x:v>-962964</x:v>
      </x:c>
      <x:c r="D5" s="34" t="n">
        <x:f>'Assumptions'!$B$10</x:f>
        <x:v>350000</x:v>
      </x:c>
      <x:c r="E5" s="34" t="n">
        <x:f>MIN(B21:D21)</x:f>
        <x:v>-632964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8" t="str">
        <x:v>Base</x:v>
      </x:c>
      <x:c r="B6" s="34" t="n">
        <x:f>SUM(B29:D29)</x:f>
        <x:v>4722000</x:v>
      </x:c>
      <x:c r="C6" s="34" t="n">
        <x:f>SUM(B34:D34)</x:f>
        <x:v>695050</x:v>
      </x:c>
      <x:c r="D6" s="34" t="n">
        <x:f>'Assumptions'!$C$10</x:f>
        <x:v>400000</x:v>
      </x:c>
      <x:c r="E6" s="34" t="n">
        <x:f>MIN(B36:D36)</x:f>
        <x:v>56950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8" t="str">
        <x:v>Upside</x:v>
      </x:c>
      <x:c r="B7" s="34" t="n">
        <x:f>SUM(B44:D44)</x:f>
        <x:v>11871000</x:v>
      </x:c>
      <x:c r="C7" s="34" t="n">
        <x:f>SUM(B49:D49)</x:f>
        <x:v>3830930</x:v>
      </x:c>
      <x:c r="D7" s="34" t="n">
        <x:f>'Assumptions'!$D$10</x:f>
        <x:v>650000</x:v>
      </x:c>
      <x:c r="E7" s="34" t="n">
        <x:f>MIN(B51:D51)</x:f>
        <x:v>341330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 ht="23" customHeight="1">
      <x:c r="A10" s="16" t="str">
        <x:v>Conservative</x:v>
      </x:c>
      <x:c r="B10" s="16"/>
      <x:c r="C10" s="16"/>
      <x:c r="D10" s="16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21" t="str">
        <x:v>Показатель</x:v>
      </x:c>
      <x:c r="B11" s="21" t="str">
        <x:v>Year 1</x:v>
      </x:c>
      <x:c r="C11" s="21" t="str">
        <x:v>Year 2</x:v>
      </x:c>
      <x:c r="D11" s="21" t="str">
        <x:v>Year 3</x:v>
      </x:c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 t="str">
        <x:v>Средние аккаунты</x:v>
      </x:c>
      <x:c r="B12" s="32" t="n">
        <x:f>'Assumptions'!$B$19</x:f>
        <x:v>12</x:v>
      </x:c>
      <x:c r="C12" s="32" t="n">
        <x:f>'Assumptions'!$B$20</x:f>
        <x:v>45</x:v>
      </x:c>
      <x:c r="D12" s="32" t="n">
        <x:f>'Assumptions'!$B$21</x:f>
        <x:v>110</x:v>
      </x:c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 t="str">
        <x:v>ARPA, MDL/мес.</x:v>
      </x:c>
      <x:c r="B13" s="31" t="n">
        <x:f>'Assumptions'!$B$22</x:f>
        <x:v>450</x:v>
      </x:c>
      <x:c r="C13" s="31" t="n">
        <x:f>'Assumptions'!$B$23</x:f>
        <x:v>500</x:v>
      </x:c>
      <x:c r="D13" s="31" t="n">
        <x:f>'Assumptions'!$B$24</x:f>
        <x:v>550</x:v>
      </x:c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 t="str">
        <x:v>Выручка</x:v>
      </x:c>
      <x:c r="B14" s="34" t="n">
        <x:f>B12*B13*12</x:f>
        <x:v>64800</x:v>
      </x:c>
      <x:c r="C14" s="34" t="n">
        <x:f>C12*C13*12</x:f>
        <x:v>270000</x:v>
      </x:c>
      <x:c r="D14" s="34" t="n">
        <x:f>D12*D13*12</x:f>
        <x:v>726000</x:v>
      </x:c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 t="str">
        <x:v>COGS, %</x:v>
      </x:c>
      <x:c r="B15" s="30" t="n">
        <x:f>'Assumptions'!$B$25</x:f>
        <x:v>0.18</x:v>
      </x:c>
      <x:c r="C15" s="30" t="n">
        <x:f>'Assumptions'!$B$26</x:f>
        <x:v>0.16</x:v>
      </x:c>
      <x:c r="D15" s="30" t="n">
        <x:f>'Assumptions'!$B$27</x:f>
        <x:v>0.15</x:v>
      </x:c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 t="str">
        <x:v>COGS</x:v>
      </x:c>
      <x:c r="B16" s="34" t="n">
        <x:f>B14*B15</x:f>
        <x:v>11664</x:v>
      </x:c>
      <x:c r="C16" s="34" t="n">
        <x:f>C14*C15</x:f>
        <x:v>43200</x:v>
      </x:c>
      <x:c r="D16" s="34" t="n">
        <x:f>D14*D15</x:f>
        <x:v>108900</x:v>
      </x:c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36" t="str">
        <x:v>Валовая прибыль</x:v>
      </x:c>
      <x:c r="B17" s="37" t="n">
        <x:f>B14-B16</x:f>
        <x:v>53136</x:v>
      </x:c>
      <x:c r="C17" s="37" t="n">
        <x:f>C14-C16</x:f>
        <x:v>226800</x:v>
      </x:c>
      <x:c r="D17" s="37" t="n">
        <x:f>D14-D16</x:f>
        <x:v>617100</x:v>
      </x:c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8" t="str">
        <x:v>OPEX</x:v>
      </x:c>
      <x:c r="B18" s="35" t="n">
        <x:f>'Assumptions'!$B$28</x:f>
        <x:v>360000</x:v>
      </x:c>
      <x:c r="C18" s="35" t="n">
        <x:f>'Assumptions'!$B$29</x:f>
        <x:v>600000</x:v>
      </x:c>
      <x:c r="D18" s="35" t="n">
        <x:f>'Assumptions'!$B$30</x:f>
        <x:v>900000</x:v>
      </x:c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8" t="str">
        <x:v>EBITDA</x:v>
      </x:c>
      <x:c r="B19" s="35" t="n">
        <x:f>B17-B18</x:f>
        <x:v>-306864</x:v>
      </x:c>
      <x:c r="C19" s="35" t="n">
        <x:f>C17-C18</x:f>
        <x:v>-373200</x:v>
      </x:c>
      <x:c r="D19" s="35" t="n">
        <x:f>D17-D18</x:f>
        <x:v>-282900</x:v>
      </x:c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8" t="str">
        <x:v>EBITDA margin</x:v>
      </x:c>
      <x:c r="B20" s="39" t="n">
        <x:f>IF(B14=0,0,B19/B14)</x:f>
        <x:v>-4.735555555555556</x:v>
      </x:c>
      <x:c r="C20" s="39" t="n">
        <x:f>IF(C14=0,0,C19/C14)</x:f>
        <x:v>-1.3822222222222222</x:v>
      </x:c>
      <x:c r="D20" s="39" t="n">
        <x:f>IF(D14=0,0,D19/D14)</x:f>
        <x:v>-0.3896694214876033</x:v>
      </x:c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8" t="str">
        <x:v>Cash после года</x:v>
      </x:c>
      <x:c r="B21" s="35" t="n">
        <x:f>'Assumptions'!$B$10-'Assumptions'!$B$11+B19</x:f>
        <x:v>23136</x:v>
      </x:c>
      <x:c r="C21" s="35" t="n">
        <x:f>B21+C19</x:f>
        <x:v>-350064</x:v>
      </x:c>
      <x:c r="D21" s="35" t="n">
        <x:f>C21+D19</x:f>
        <x:v>-632964</x:v>
      </x:c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 ht="23" customHeight="1">
      <x:c r="A25" s="16" t="str">
        <x:v>Base</x:v>
      </x:c>
      <x:c r="B25" s="16"/>
      <x:c r="C25" s="16"/>
      <x:c r="D25" s="16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21" t="str">
        <x:v>Показатель</x:v>
      </x:c>
      <x:c r="B26" s="21" t="str">
        <x:v>Year 1</x:v>
      </x:c>
      <x:c r="C26" s="21" t="str">
        <x:v>Year 2</x:v>
      </x:c>
      <x:c r="D26" s="21" t="str">
        <x:v>Year 3</x:v>
      </x:c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>
      <x:c r="A27" s="7" t="str">
        <x:v>Средние аккаунты</x:v>
      </x:c>
      <x:c r="B27" s="32" t="n">
        <x:f>'Assumptions'!$C$19</x:f>
        <x:v>25</x:v>
      </x:c>
      <x:c r="C27" s="32" t="n">
        <x:f>'Assumptions'!$C$20</x:f>
        <x:v>140</x:v>
      </x:c>
      <x:c r="D27" s="32" t="n">
        <x:f>'Assumptions'!$C$21</x:f>
        <x:v>385</x:v>
      </x:c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 t="str">
        <x:v>ARPA, MDL/мес.</x:v>
      </x:c>
      <x:c r="B28" s="31" t="n">
        <x:f>'Assumptions'!$C$22</x:f>
        <x:v>550</x:v>
      </x:c>
      <x:c r="C28" s="31" t="n">
        <x:f>'Assumptions'!$C$23</x:f>
        <x:v>650</x:v>
      </x:c>
      <x:c r="D28" s="31" t="n">
        <x:f>'Assumptions'!$C$24</x:f>
        <x:v>750</x:v>
      </x:c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 t="str">
        <x:v>Выручка</x:v>
      </x:c>
      <x:c r="B29" s="34" t="n">
        <x:f>B27*B28*12</x:f>
        <x:v>165000</x:v>
      </x:c>
      <x:c r="C29" s="34" t="n">
        <x:f>C27*C28*12</x:f>
        <x:v>1092000</x:v>
      </x:c>
      <x:c r="D29" s="34" t="n">
        <x:f>D27*D28*12</x:f>
        <x:v>3465000</x:v>
      </x:c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 t="str">
        <x:v>COGS, %</x:v>
      </x:c>
      <x:c r="B30" s="30" t="n">
        <x:f>'Assumptions'!$C$25</x:f>
        <x:v>0.17</x:v>
      </x:c>
      <x:c r="C30" s="30" t="n">
        <x:f>'Assumptions'!$C$26</x:f>
        <x:v>0.15</x:v>
      </x:c>
      <x:c r="D30" s="30" t="n">
        <x:f>'Assumptions'!$C$27</x:f>
        <x:v>0.14</x:v>
      </x:c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>
      <x:c r="A31" s="7" t="str">
        <x:v>COGS</x:v>
      </x:c>
      <x:c r="B31" s="34" t="n">
        <x:f>B29*B30</x:f>
        <x:v>28050.000000000004</x:v>
      </x:c>
      <x:c r="C31" s="34" t="n">
        <x:f>C29*C30</x:f>
        <x:v>163800</x:v>
      </x:c>
      <x:c r="D31" s="34" t="n">
        <x:f>D29*D30</x:f>
        <x:v>485100.00000000006</x:v>
      </x:c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36" t="str">
        <x:v>Валовая прибыль</x:v>
      </x:c>
      <x:c r="B32" s="37" t="n">
        <x:f>B29-B31</x:f>
        <x:v>136950</x:v>
      </x:c>
      <x:c r="C32" s="37" t="n">
        <x:f>C29-C31</x:f>
        <x:v>928200</x:v>
      </x:c>
      <x:c r="D32" s="37" t="n">
        <x:f>D29-D31</x:f>
        <x:v>2979900</x:v>
      </x:c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8" t="str">
        <x:v>OPEX</x:v>
      </x:c>
      <x:c r="B33" s="35" t="n">
        <x:f>'Assumptions'!$C$28</x:f>
        <x:v>450000</x:v>
      </x:c>
      <x:c r="C33" s="35" t="n">
        <x:f>'Assumptions'!$C$29</x:f>
        <x:v>900000</x:v>
      </x:c>
      <x:c r="D33" s="35" t="n">
        <x:f>'Assumptions'!$C$30</x:f>
        <x:v>2000000</x:v>
      </x:c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8" t="str">
        <x:v>EBITDA</x:v>
      </x:c>
      <x:c r="B34" s="35" t="n">
        <x:f>B32-B33</x:f>
        <x:v>-313050</x:v>
      </x:c>
      <x:c r="C34" s="35" t="n">
        <x:f>C32-C33</x:f>
        <x:v>28200</x:v>
      </x:c>
      <x:c r="D34" s="35" t="n">
        <x:f>D32-D33</x:f>
        <x:v>979900</x:v>
      </x:c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8" t="str">
        <x:v>EBITDA margin</x:v>
      </x:c>
      <x:c r="B35" s="39" t="n">
        <x:f>IF(B29=0,0,B34/B29)</x:f>
        <x:v>-1.8972727272727272</x:v>
      </x:c>
      <x:c r="C35" s="39" t="n">
        <x:f>IF(C29=0,0,C34/C29)</x:f>
        <x:v>0.025824175824175823</x:v>
      </x:c>
      <x:c r="D35" s="39" t="n">
        <x:f>IF(D29=0,0,D34/D29)</x:f>
        <x:v>0.2827994227994228</x:v>
      </x:c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8" t="str">
        <x:v>Cash после года</x:v>
      </x:c>
      <x:c r="B36" s="35" t="n">
        <x:f>'Assumptions'!$C$10-'Assumptions'!$C$11+B34</x:f>
        <x:v>56950</x:v>
      </x:c>
      <x:c r="C36" s="35" t="n">
        <x:f>B36+C34</x:f>
        <x:v>85150</x:v>
      </x:c>
      <x:c r="D36" s="35" t="n">
        <x:f>C36+D34</x:f>
        <x:v>1065050</x:v>
      </x:c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 ht="23" customHeight="1">
      <x:c r="A40" s="16" t="str">
        <x:v>Upside</x:v>
      </x:c>
      <x:c r="B40" s="16"/>
      <x:c r="C40" s="16"/>
      <x:c r="D40" s="16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21" t="str">
        <x:v>Показатель</x:v>
      </x:c>
      <x:c r="B41" s="21" t="str">
        <x:v>Year 1</x:v>
      </x:c>
      <x:c r="C41" s="21" t="str">
        <x:v>Year 2</x:v>
      </x:c>
      <x:c r="D41" s="21" t="str">
        <x:v>Year 3</x:v>
      </x:c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 t="str">
        <x:v>Средние аккаунты</x:v>
      </x:c>
      <x:c r="B42" s="32" t="n">
        <x:f>'Assumptions'!$D$19</x:f>
        <x:v>45</x:v>
      </x:c>
      <x:c r="C42" s="32" t="n">
        <x:f>'Assumptions'!$D$20</x:f>
        <x:v>250</x:v>
      </x:c>
      <x:c r="D42" s="32" t="n">
        <x:f>'Assumptions'!$D$21</x:f>
        <x:v>800</x:v>
      </x:c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 t="str">
        <x:v>ARPA, MDL/мес.</x:v>
      </x:c>
      <x:c r="B43" s="31" t="n">
        <x:f>'Assumptions'!$D$22</x:f>
        <x:v>650</x:v>
      </x:c>
      <x:c r="C43" s="31" t="n">
        <x:f>'Assumptions'!$D$23</x:f>
        <x:v>800</x:v>
      </x:c>
      <x:c r="D43" s="31" t="n">
        <x:f>'Assumptions'!$D$24</x:f>
        <x:v>950</x:v>
      </x:c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 t="str">
        <x:v>Выручка</x:v>
      </x:c>
      <x:c r="B44" s="34" t="n">
        <x:f>B42*B43*12</x:f>
        <x:v>351000</x:v>
      </x:c>
      <x:c r="C44" s="34" t="n">
        <x:f>C42*C43*12</x:f>
        <x:v>2400000</x:v>
      </x:c>
      <x:c r="D44" s="34" t="n">
        <x:f>D42*D43*12</x:f>
        <x:v>9120000</x:v>
      </x:c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 t="str">
        <x:v>COGS, %</x:v>
      </x:c>
      <x:c r="B45" s="30" t="n">
        <x:f>'Assumptions'!$D$25</x:f>
        <x:v>0.17</x:v>
      </x:c>
      <x:c r="C45" s="30" t="n">
        <x:f>'Assumptions'!$D$26</x:f>
        <x:v>0.14</x:v>
      </x:c>
      <x:c r="D45" s="30" t="n">
        <x:f>'Assumptions'!$D$27</x:f>
        <x:v>0.12</x:v>
      </x:c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 t="str">
        <x:v>COGS</x:v>
      </x:c>
      <x:c r="B46" s="34" t="n">
        <x:f>B44*B45</x:f>
        <x:v>59670.00000000001</x:v>
      </x:c>
      <x:c r="C46" s="34" t="n">
        <x:f>C44*C45</x:f>
        <x:v>336000.00000000006</x:v>
      </x:c>
      <x:c r="D46" s="34" t="n">
        <x:f>D44*D45</x:f>
        <x:v>1094400</x:v>
      </x:c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36" t="str">
        <x:v>Валовая прибыль</x:v>
      </x:c>
      <x:c r="B47" s="37" t="n">
        <x:f>B44-B46</x:f>
        <x:v>291330</x:v>
      </x:c>
      <x:c r="C47" s="37" t="n">
        <x:f>C44-C46</x:f>
        <x:v>2064000</x:v>
      </x:c>
      <x:c r="D47" s="37" t="n">
        <x:f>D44-D46</x:f>
        <x:v>8025600</x:v>
      </x:c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8" t="str">
        <x:v>OPEX</x:v>
      </x:c>
      <x:c r="B48" s="35" t="n">
        <x:f>'Assumptions'!$D$28</x:f>
        <x:v>550000</x:v>
      </x:c>
      <x:c r="C48" s="35" t="n">
        <x:f>'Assumptions'!$D$29</x:f>
        <x:v>1500000</x:v>
      </x:c>
      <x:c r="D48" s="35" t="n">
        <x:f>'Assumptions'!$D$30</x:f>
        <x:v>4500000</x:v>
      </x:c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8" t="str">
        <x:v>EBITDA</x:v>
      </x:c>
      <x:c r="B49" s="35" t="n">
        <x:f>B47-B48</x:f>
        <x:v>-258670</x:v>
      </x:c>
      <x:c r="C49" s="35" t="n">
        <x:f>C47-C48</x:f>
        <x:v>564000</x:v>
      </x:c>
      <x:c r="D49" s="35" t="n">
        <x:f>D47-D48</x:f>
        <x:v>3525600</x:v>
      </x:c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8" t="str">
        <x:v>EBITDA margin</x:v>
      </x:c>
      <x:c r="B50" s="39" t="n">
        <x:f>IF(B44=0,0,B49/B44)</x:f>
        <x:v>-0.7369515669515669</x:v>
      </x:c>
      <x:c r="C50" s="39" t="n">
        <x:f>IF(C44=0,0,C49/C44)</x:f>
        <x:v>0.235</x:v>
      </x:c>
      <x:c r="D50" s="39" t="n">
        <x:f>IF(D44=0,0,D49/D44)</x:f>
        <x:v>0.3865789473684211</x:v>
      </x:c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8" t="str">
        <x:v>Cash после года</x:v>
      </x:c>
      <x:c r="B51" s="35" t="n">
        <x:f>'Assumptions'!$D$10-'Assumptions'!$D$11+B49</x:f>
        <x:v>341330</x:v>
      </x:c>
      <x:c r="C51" s="35" t="n">
        <x:f>B51+C49</x:f>
        <x:v>905330</x:v>
      </x:c>
      <x:c r="D51" s="35" t="n">
        <x:f>C51+D49</x:f>
        <x:v>4430930</x:v>
      </x:c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44" t="str">
        <x:v>Сценарное сравнение использует средние аккаунты и годовые ARPA из бизнес-плана. Помесячная модель использует gross adds и churn, поэтому её годовые значения могут немного отличаться — это не ошибка, а два разных способа планирования.</x:v>
      </x:c>
      <x:c r="B54" s="44"/>
      <x:c r="C54" s="44"/>
      <x:c r="D54" s="44"/>
      <x:c r="E54" s="44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44"/>
      <x:c r="B55" s="44"/>
      <x:c r="C55" s="44"/>
      <x:c r="D55" s="44"/>
      <x:c r="E55" s="44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44"/>
      <x:c r="B56" s="44"/>
      <x:c r="C56" s="44"/>
      <x:c r="D56" s="44"/>
      <x:c r="E56" s="44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E1"/>
    <x:mergeCell ref="A3:E3"/>
    <x:mergeCell ref="A10:D10"/>
    <x:mergeCell ref="A25:D25"/>
    <x:mergeCell ref="A40:D40"/>
    <x:mergeCell ref="A54:E5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" t="str">
        <x:v>Nail Profit OS — Unit economics</x:v>
      </x:c>
      <x:c r="B1" s="6"/>
      <x:c r="C1" s="6"/>
      <x:c r="D1" s="6"/>
      <x:c r="E1" s="6"/>
      <x:c r="F1" s="6"/>
      <x:c r="G1" s="6"/>
      <x:c r="H1" s="6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7" t="str">
        <x:v>Выбранный сценарий</x:v>
      </x:c>
      <x:c r="B3" s="29" t="str">
        <x:f>'Assumptions'!$B$3</x:f>
        <x:v>Base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 ht="23" customHeight="1">
      <x:c r="A5" s="16" t="str">
        <x:v>Экономика одного аккаунта — Year 2</x:v>
      </x:c>
      <x:c r="B5" s="16"/>
      <x:c r="C5" s="16"/>
      <x:c r="D5" s="16" t="str">
        <x:v>Тарифный mix</x:v>
      </x:c>
      <x:c r="E5" s="16"/>
      <x:c r="F5" s="16"/>
      <x:c r="G5" s="16"/>
      <x:c r="H5" s="16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21" t="str">
        <x:v>Показатель</x:v>
      </x:c>
      <x:c r="B6" s="21" t="str">
        <x:v>Значение</x:v>
      </x:c>
      <x:c r="C6" s="7"/>
      <x:c r="D6" s="21" t="str">
        <x:v>План</x:v>
      </x:c>
      <x:c r="E6" s="21" t="str">
        <x:v>Цена</x:v>
      </x:c>
      <x:c r="F6" s="21" t="str">
        <x:v>Conservative</x:v>
      </x:c>
      <x:c r="G6" s="21" t="str">
        <x:v>Base</x:v>
      </x:c>
      <x:c r="H6" s="21" t="str">
        <x:v>Upside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7" t="str">
        <x:v>ARPA, MDL/мес.</x:v>
      </x:c>
      <x:c r="B7" s="31" t="n">
        <x:f>'Assumptions'!$B$49</x:f>
        <x:v>650</x:v>
      </x:c>
      <x:c r="C7" s="7"/>
      <x:c r="D7" s="29" t="str">
        <x:f>'Assumptions'!A62</x:f>
        <x:v>Concierge Pilot</x:v>
      </x:c>
      <x:c r="E7" s="31" t="n">
        <x:f>'Assumptions'!B62</x:f>
        <x:v>300</x:v>
      </x:c>
      <x:c r="F7" s="30" t="n">
        <x:f>'Assumptions'!C62</x:f>
        <x:v>0</x:v>
      </x:c>
      <x:c r="G7" s="30" t="n">
        <x:f>'Assumptions'!D62</x:f>
        <x:v>0</x:v>
      </x:c>
      <x:c r="H7" s="30" t="n">
        <x:f>'Assumptions'!E62</x:f>
        <x:v>0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 t="str">
        <x:v>Валовая маржа</x:v>
      </x:c>
      <x:c r="B8" s="30" t="n">
        <x:f>1-'Assumptions'!$B$52</x:f>
        <x:v>0.85</x:v>
      </x:c>
      <x:c r="C8" s="7"/>
      <x:c r="D8" s="29" t="str">
        <x:f>'Assumptions'!A63</x:f>
        <x:v>Solo</x:v>
      </x:c>
      <x:c r="E8" s="31" t="n">
        <x:f>'Assumptions'!B63</x:f>
        <x:v>349</x:v>
      </x:c>
      <x:c r="F8" s="30" t="n">
        <x:f>'Assumptions'!C63</x:f>
        <x:v>0.75</x:v>
      </x:c>
      <x:c r="G8" s="30" t="n">
        <x:f>'Assumptions'!D63</x:f>
        <x:v>0.6</x:v>
      </x:c>
      <x:c r="H8" s="30" t="n">
        <x:f>'Assumptions'!E63</x:f>
        <x:v>0.5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7" t="str">
        <x:v>Валовой вклад, MDL/мес.</x:v>
      </x:c>
      <x:c r="B9" s="34" t="n">
        <x:f>B7*B8</x:f>
        <x:v>552.5</x:v>
      </x:c>
      <x:c r="C9" s="7"/>
      <x:c r="D9" s="29" t="str">
        <x:f>'Assumptions'!A64</x:f>
        <x:v>Studio</x:v>
      </x:c>
      <x:c r="E9" s="31" t="n">
        <x:f>'Assumptions'!B64</x:f>
        <x:v>899</x:v>
      </x:c>
      <x:c r="F9" s="30" t="n">
        <x:f>'Assumptions'!C64</x:f>
        <x:v>0.23</x:v>
      </x:c>
      <x:c r="G9" s="30" t="n">
        <x:f>'Assumptions'!D64</x:f>
        <x:v>0.35</x:v>
      </x:c>
      <x:c r="H9" s="30" t="n">
        <x:f>'Assumptions'!E64</x:f>
        <x:v>0.4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7" t="str">
        <x:v>Monthly churn</x:v>
      </x:c>
      <x:c r="B10" s="30" t="n">
        <x:f>'Assumptions'!$B$39</x:f>
        <x:v>0.03</x:v>
      </x:c>
      <x:c r="C10" s="7"/>
      <x:c r="D10" s="29" t="str">
        <x:f>'Assumptions'!A65</x:f>
        <x:v>Studio+</x:v>
      </x:c>
      <x:c r="E10" s="31" t="n">
        <x:f>'Assumptions'!B65</x:f>
        <x:v>1699</x:v>
      </x:c>
      <x:c r="F10" s="30" t="n">
        <x:f>'Assumptions'!C65</x:f>
        <x:v>0.02</x:v>
      </x:c>
      <x:c r="G10" s="30" t="n">
        <x:f>'Assumptions'!D65</x:f>
        <x:v>0.05</x:v>
      </x:c>
      <x:c r="H10" s="30" t="n">
        <x:f>'Assumptions'!E65</x:f>
        <x:v>0.1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7" t="str">
        <x:v>Gross-profit LTV, MDL</x:v>
      </x:c>
      <x:c r="B11" s="34" t="n">
        <x:f>IF(B10=0,0,B9/B10)</x:f>
        <x:v>18416.666666666668</x:v>
      </x:c>
      <x:c r="C11" s="7"/>
      <x:c r="D11" s="36" t="str">
        <x:v>Weighted list ARPA</x:v>
      </x:c>
      <x:c r="E11" s="36"/>
      <x:c r="F11" s="37" t="n">
        <x:f>'Assumptions'!C66</x:f>
        <x:v>502.5</x:v>
      </x:c>
      <x:c r="G11" s="37" t="n">
        <x:f>'Assumptions'!D66</x:f>
        <x:v>609</x:v>
      </x:c>
      <x:c r="H11" s="37" t="n">
        <x:f>'Assumptions'!E66</x:f>
        <x:v>704</x:v>
      </x:c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 t="str">
        <x:v>Fully loaded CAC, MDL</x:v>
      </x:c>
      <x:c r="B12" s="31" t="n">
        <x:f>'Assumptions'!$B$40</x:f>
        <x:v>1400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 t="str">
        <x:v>LTV / CAC</x:v>
      </x:c>
      <x:c r="B13" s="67" t="n">
        <x:f>IF(B12=0,0,B11/B12)</x:f>
        <x:v>13.154761904761905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 t="str">
        <x:v>CAC payback, месяцев</x:v>
      </x:c>
      <x:c r="B14" s="68" t="n">
        <x:f>IF(B9=0,0,B12/B9)</x:f>
        <x:v>2.5339366515837103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 t="str">
        <x:v>Fixed OPEX, MDL/мес.</x:v>
      </x:c>
      <x:c r="B15" s="31" t="n">
        <x:f>'Assumptions'!$B$55/12</x:f>
        <x:v>75000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36" t="str">
        <x:v>Break-even accounts</x:v>
      </x:c>
      <x:c r="B16" s="65" t="n">
        <x:f>IF(B9=0,0,B15/B9)</x:f>
        <x:v>135.74660633484163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 ht="23" customHeight="1">
      <x:c r="A19" s="16" t="str">
        <x:v>Чувствительность break-even: активные аккаунты</x:v>
      </x:c>
      <x:c r="B19" s="16"/>
      <x:c r="C19" s="16"/>
      <x:c r="D19" s="16"/>
      <x:c r="E19" s="16"/>
      <x:c r="F19" s="16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21" t="str">
        <x:v>Fixed OPEX / ARPA</x:v>
      </x:c>
      <x:c r="B20" s="79" t="n">
        <x:v>300</x:v>
      </x:c>
      <x:c r="C20" s="79" t="n">
        <x:v>349</x:v>
      </x:c>
      <x:c r="D20" s="79" t="n">
        <x:v>609</x:v>
      </x:c>
      <x:c r="E20" s="79" t="n">
        <x:v>899</x:v>
      </x:c>
      <x:c r="F20" s="79" t="n">
        <x:v>1699</x:v>
      </x:c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26" t="n">
        <x:v>30000</x:v>
      </x:c>
      <x:c r="B21" s="62" t="n">
        <x:f>$A21/(B$20*$B$8)</x:f>
        <x:v>117.6470588235294</x:v>
      </x:c>
      <x:c r="C21" s="62" t="n">
        <x:f>$A21/(C$20*$B$8)</x:f>
        <x:v>101.12927692566998</x:v>
      </x:c>
      <x:c r="D21" s="62" t="n">
        <x:f>$A21/(D$20*$B$8)</x:f>
        <x:v>57.954216169226314</x:v>
      </x:c>
      <x:c r="E21" s="62" t="n">
        <x:f>$A21/(E$20*$B$8)</x:f>
        <x:v>39.2593077275404</x:v>
      </x:c>
      <x:c r="F21" s="62" t="n">
        <x:f>$A21/(F$20*$B$8)</x:f>
        <x:v>20.773465360246515</x:v>
      </x:c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26" t="n">
        <x:v>45000</x:v>
      </x:c>
      <x:c r="B22" s="62" t="n">
        <x:f>$A22/(B$20*$B$8)</x:f>
        <x:v>176.47058823529412</x:v>
      </x:c>
      <x:c r="C22" s="62" t="n">
        <x:f>$A22/(C$20*$B$8)</x:f>
        <x:v>151.693915388505</x:v>
      </x:c>
      <x:c r="D22" s="62" t="n">
        <x:f>$A22/(D$20*$B$8)</x:f>
        <x:v>86.93132425383948</x:v>
      </x:c>
      <x:c r="E22" s="62" t="n">
        <x:f>$A22/(E$20*$B$8)</x:f>
        <x:v>58.88896159131061</x:v>
      </x:c>
      <x:c r="F22" s="62" t="n">
        <x:f>$A22/(F$20*$B$8)</x:f>
        <x:v>31.16019804036977</x:v>
      </x:c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26" t="n">
        <x:v>60000</x:v>
      </x:c>
      <x:c r="B23" s="62" t="n">
        <x:f>$A23/(B$20*$B$8)</x:f>
        <x:v>235.2941176470588</x:v>
      </x:c>
      <x:c r="C23" s="62" t="n">
        <x:f>$A23/(C$20*$B$8)</x:f>
        <x:v>202.25855385133997</x:v>
      </x:c>
      <x:c r="D23" s="62" t="n">
        <x:f>$A23/(D$20*$B$8)</x:f>
        <x:v>115.90843233845263</x:v>
      </x:c>
      <x:c r="E23" s="62" t="n">
        <x:f>$A23/(E$20*$B$8)</x:f>
        <x:v>78.5186154550808</x:v>
      </x:c>
      <x:c r="F23" s="62" t="n">
        <x:f>$A23/(F$20*$B$8)</x:f>
        <x:v>41.54693072049303</x:v>
      </x:c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28" t="n">
        <x:v>90000</x:v>
      </x:c>
      <x:c r="B24" s="62" t="n">
        <x:f>$A24/(B$20*$B$8)</x:f>
        <x:v>352.94117647058823</x:v>
      </x:c>
      <x:c r="C24" s="62" t="n">
        <x:f>$A24/(C$20*$B$8)</x:f>
        <x:v>303.38783077701</x:v>
      </x:c>
      <x:c r="D24" s="62" t="n">
        <x:f>$A24/(D$20*$B$8)</x:f>
        <x:v>173.86264850767895</x:v>
      </x:c>
      <x:c r="E24" s="62" t="n">
        <x:f>$A24/(E$20*$B$8)</x:f>
        <x:v>117.77792318262122</x:v>
      </x:c>
      <x:c r="F24" s="62" t="n">
        <x:f>$A24/(F$20*$B$8)</x:f>
        <x:v>62.32039608073954</x:v>
      </x:c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 ht="23" customHeight="1">
      <x:c r="A27" s="16" t="str">
        <x:v>Диагностика поддержки</x:v>
      </x:c>
      <x:c r="B27" s="16"/>
      <x:c r="C27" s="16"/>
      <x:c r="D27" s="16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21" t="str">
        <x:v>Показатель</x:v>
      </x:c>
      <x:c r="B28" s="21" t="str">
        <x:v>Значение</x:v>
      </x:c>
      <x:c r="C28" s="7"/>
      <x:c r="D28" s="44" t="str">
        <x:v>Support cost должен быть включён в COGS. Если фактическая поддержка превышает 20 минут на аккаунт в месяц, заявленная SaaS-маржа 82–88% может оказаться завышенной.</x:v>
      </x:c>
      <x:c r="E28" s="44"/>
      <x:c r="F28" s="44"/>
      <x:c r="G28" s="44"/>
      <x:c r="H28" s="44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 t="str">
        <x:v>Support time, мин./аккаунт/мес.</x:v>
      </x:c>
      <x:c r="B29" s="32" t="n">
        <x:f>'Assumptions'!$B$88</x:f>
        <x:v>20</x:v>
      </x:c>
      <x:c r="C29" s="7"/>
      <x:c r="D29" s="44"/>
      <x:c r="E29" s="44"/>
      <x:c r="F29" s="44"/>
      <x:c r="G29" s="44"/>
      <x:c r="H29" s="44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 t="str">
        <x:v>Внутренняя стоимость часа, MDL</x:v>
      </x:c>
      <x:c r="B30" s="31" t="n">
        <x:f>'Assumptions'!$B$89</x:f>
        <x:v>250</x:v>
      </x:c>
      <x:c r="C30" s="7"/>
      <x:c r="D30" s="44"/>
      <x:c r="E30" s="44"/>
      <x:c r="F30" s="44"/>
      <x:c r="G30" s="44"/>
      <x:c r="H30" s="44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>
      <x:c r="A31" s="7" t="str">
        <x:v>Implied support cost/account, MDL</x:v>
      </x:c>
      <x:c r="B31" s="34" t="n">
        <x:f>B29/60*B30</x:f>
        <x:v>83.33333333333333</x:v>
      </x:c>
      <x:c r="C31" s="7"/>
      <x:c r="D31" s="44"/>
      <x:c r="E31" s="44"/>
      <x:c r="F31" s="44"/>
      <x:c r="G31" s="44"/>
      <x:c r="H31" s="44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/>
      <x:c r="B32" s="7"/>
      <x:c r="C32" s="7"/>
      <x:c r="D32" s="44"/>
      <x:c r="E32" s="44"/>
      <x:c r="F32" s="44"/>
      <x:c r="G32" s="44"/>
      <x:c r="H32" s="44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H1"/>
    <x:mergeCell ref="A5:D5"/>
    <x:mergeCell ref="D5:H5"/>
    <x:mergeCell ref="A19:F19"/>
    <x:mergeCell ref="A27:D27"/>
    <x:mergeCell ref="D28:H32"/>
  </x:mergeCells>
  <x:conditionalFormatting sqref="B21:F24">
    <x:cfRule type="colorScale" priority="1">
      <x:colorScale>
        <x:cfvo type="min"/>
        <x:cfvo type="percentile" val="50"/>
        <x:cfvo type="max"/>
        <x:color rgb="FFE3F1E8"/>
        <x:color rgb="FFFFF4CC"/>
        <x:color rgb="FFFBE7E1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</x:cols>
  <x:sheetData>
    <x:row r="1" ht="34" customHeight="1">
      <x:c r="A1" s="6" t="str">
        <x:v>Nail Profit OS — Контроль модели</x:v>
      </x:c>
      <x:c r="B1" s="6"/>
      <x:c r="C1" s="6"/>
      <x:c r="D1" s="6"/>
      <x:c r="E1" s="6"/>
      <x:c r="F1" s="6"/>
      <x:c r="G1" s="6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109" t="str">
        <x:v>MODEL STATUS</x:v>
      </x:c>
      <x:c r="B3" s="109" t="str">
        <x:f>IF(COUNTIF(F7:F15,"FAIL")=0,"PASS","FAIL")</x:f>
        <x:v>PASS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21" t="str">
        <x:v>Проверка</x:v>
      </x:c>
      <x:c r="B6" s="21" t="str">
        <x:v>Actual</x:v>
      </x:c>
      <x:c r="C6" s="21" t="str">
        <x:v>Expected</x:v>
      </x:c>
      <x:c r="D6" s="21" t="str">
        <x:v>Difference</x:v>
      </x:c>
      <x:c r="E6" s="21" t="str">
        <x:v>Tolerance</x:v>
      </x:c>
      <x:c r="F6" s="21" t="str">
        <x:v>Status</x:v>
      </x:c>
      <x:c r="G6" s="21" t="str">
        <x:v>Где исправить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7" t="str">
        <x:v>Выбран допустимый сценарий</x:v>
      </x:c>
      <x:c r="B7" s="83" t="n">
        <x:f>COUNTIF('Assumptions'!$B$9:$D$9,'Assumptions'!$B$3)</x:f>
        <x:v>1</x:v>
      </x:c>
      <x:c r="C7" s="83" t="n">
        <x:v>1</x:v>
      </x:c>
      <x:c r="D7" s="83" t="n">
        <x:f>B7-C7</x:f>
        <x:v>0</x:v>
      </x:c>
      <x:c r="E7" s="83" t="n">
        <x:v>0</x:v>
      </x:c>
      <x:c r="F7" s="7" t="str">
        <x:f>IF(ABS(D7)&lt;=E7,"OK","FAIL")</x:f>
        <x:v>OK</x:v>
      </x:c>
      <x:c r="G7" s="7" t="str">
        <x:v>Assumptions!B3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 t="str">
        <x:v>Тарифный mix выбранного сценария = 100%</x:v>
      </x:c>
      <x:c r="B8" s="38" t="n">
        <x:f>IF('Assumptions'!$B$3="Conservative",SUM('Assumptions'!$C$63:$C$65),IF('Assumptions'!$B$3="Base",SUM('Assumptions'!$D$63:$D$65),SUM('Assumptions'!$E$63:$E$65)))</x:f>
        <x:v>1</x:v>
      </x:c>
      <x:c r="C8" s="38" t="n">
        <x:v>1</x:v>
      </x:c>
      <x:c r="D8" s="38" t="n">
        <x:f>B8-C8</x:f>
        <x:v>0</x:v>
      </x:c>
      <x:c r="E8" s="38" t="n">
        <x:v>0.0001</x:v>
      </x:c>
      <x:c r="F8" s="7" t="str">
        <x:f>IF(ABS(D8)&lt;=E8,"OK","FAIL")</x:f>
        <x:v>OK</x:v>
      </x:c>
      <x:c r="G8" s="7" t="str">
        <x:v>Assumptions!C63:E65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7" t="str">
        <x:v>Распределение OPEX = 100%</x:v>
      </x:c>
      <x:c r="B9" s="38" t="n">
        <x:f>'Assumptions'!$B$77</x:f>
        <x:v>1</x:v>
      </x:c>
      <x:c r="C9" s="38" t="n">
        <x:v>1</x:v>
      </x:c>
      <x:c r="D9" s="38" t="n">
        <x:f>B9-C9</x:f>
        <x:v>0</x:v>
      </x:c>
      <x:c r="E9" s="38" t="n">
        <x:v>0.0001</x:v>
      </x:c>
      <x:c r="F9" s="7" t="str">
        <x:f>IF(ABS(D9)&lt;=E9,"OK","FAIL")</x:f>
        <x:v>OK</x:v>
      </x:c>
      <x:c r="G9" s="7" t="str">
        <x:v>Assumptions!B71:B76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7" t="str">
        <x:v>Аккаунты не отрицательны</x:v>
      </x:c>
      <x:c r="B10" s="83" t="n">
        <x:f>MIN('Monthly Model'!$C$12:$AL$12)</x:f>
        <x:v>6.91</x:v>
      </x:c>
      <x:c r="C10" s="83" t="n">
        <x:v>0</x:v>
      </x:c>
      <x:c r="D10" s="83" t="n">
        <x:f>MIN(0,B10)</x:f>
        <x:v>0</x:v>
      </x:c>
      <x:c r="E10" s="83" t="n">
        <x:v>0</x:v>
      </x:c>
      <x:c r="F10" s="7" t="str">
        <x:f>IF(B10&gt;=C10,"OK","FAIL")</x:f>
        <x:v>OK</x:v>
      </x:c>
      <x:c r="G10" s="7" t="str">
        <x:v>Monthly Model!12:12</x:v>
      </x:c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7" t="str">
        <x:v>COGS находится между 0% и 100%</x:v>
      </x:c>
      <x:c r="B11" s="38" t="n">
        <x:f>MAX('Monthly Model'!$C$22:$AL$22)</x:f>
        <x:v>0.17</x:v>
      </x:c>
      <x:c r="C11" s="38" t="n">
        <x:v>1</x:v>
      </x:c>
      <x:c r="D11" s="38" t="n">
        <x:f>MAX(0,B11-C11)</x:f>
        <x:v>0</x:v>
      </x:c>
      <x:c r="E11" s="38" t="n">
        <x:v>0</x:v>
      </x:c>
      <x:c r="F11" s="7" t="str">
        <x:f>IF(AND(B11&gt;0,B11&lt;=1),"OK","FAIL")</x:f>
        <x:v>OK</x:v>
      </x:c>
      <x:c r="G11" s="7" t="str">
        <x:v>Assumptions!B51:B53</x:v>
      </x:c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 t="str">
        <x:v>Cash roll-forward сходится</x:v>
      </x:c>
      <x:c r="B12" s="34" t="n">
        <x:f>'Monthly Model'!$AL$39</x:f>
        <x:v>1206800.996963209</x:v>
      </x:c>
      <x:c r="C12" s="34" t="n">
        <x:f>'Assumptions'!$B$36+SUM('Monthly Model'!$C$38:$AL$38)</x:f>
        <x:v>1206800.996963209</x:v>
      </x:c>
      <x:c r="D12" s="34" t="n">
        <x:f>B12-C12</x:f>
        <x:v>0</x:v>
      </x:c>
      <x:c r="E12" s="34" t="n">
        <x:v>1</x:v>
      </x:c>
      <x:c r="F12" s="7" t="str">
        <x:f>IF(ABS(D12)&lt;=E12,"OK","FAIL")</x:f>
        <x:v>OK</x:v>
      </x:c>
      <x:c r="G12" s="7" t="str">
        <x:v>Monthly Model!38:39</x:v>
      </x:c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 t="str">
        <x:v>Распределённый OPEX сходится</x:v>
      </x:c>
      <x:c r="B13" s="34" t="n">
        <x:f>SUM('Monthly Model'!$C$50:$AL$50)</x:f>
        <x:v>3349999.999999999</x:v>
      </x:c>
      <x:c r="C13" s="34" t="n">
        <x:f>SUM('Monthly Model'!$C$28:$AL$28)</x:f>
        <x:v>3349999.999999999</x:v>
      </x:c>
      <x:c r="D13" s="34" t="n">
        <x:f>B13-C13</x:f>
        <x:v>0</x:v>
      </x:c>
      <x:c r="E13" s="34" t="n">
        <x:v>1</x:v>
      </x:c>
      <x:c r="F13" s="7" t="str">
        <x:f>IF(ABS(D13)&lt;=E13,"OK","FAIL")</x:f>
        <x:v>OK</x:v>
      </x:c>
      <x:c r="G13" s="7" t="str">
        <x:v>Assumptions!B71:B76</x:v>
      </x:c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 t="str">
        <x:v>MRR месяца 36 сходится</x:v>
      </x:c>
      <x:c r="B14" s="34" t="n">
        <x:f>'Monthly Model'!$AL$17</x:f>
        <x:v>403614.61544739007</x:v>
      </x:c>
      <x:c r="C14" s="34" t="n">
        <x:f>'Monthly Model'!$AL$13*'Monthly Model'!$AL$16</x:f>
        <x:v>403614.61544739007</x:v>
      </x:c>
      <x:c r="D14" s="34" t="n">
        <x:f>B14-C14</x:f>
        <x:v>0</x:v>
      </x:c>
      <x:c r="E14" s="34" t="n">
        <x:v>1</x:v>
      </x:c>
      <x:c r="F14" s="7" t="str">
        <x:f>IF(ABS(D14)&lt;=E14,"OK","FAIL")</x:f>
        <x:v>OK</x:v>
      </x:c>
      <x:c r="G14" s="7" t="str">
        <x:v>Monthly Model!AL13:AL17</x:v>
      </x:c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 t="str">
        <x:v>Выручка равна сумме MRR</x:v>
      </x:c>
      <x:c r="B15" s="34" t="n">
        <x:f>SUM('Monthly Model'!$C$18:$AL$18)</x:f>
        <x:v>4888548.411790618</x:v>
      </x:c>
      <x:c r="C15" s="34" t="n">
        <x:f>SUM('Monthly Model'!$C$17:$AL$17)</x:f>
        <x:v>4888548.411790618</x:v>
      </x:c>
      <x:c r="D15" s="34" t="n">
        <x:f>B15-C15</x:f>
        <x:v>0</x:v>
      </x:c>
      <x:c r="E15" s="34" t="n">
        <x:v>1</x:v>
      </x:c>
      <x:c r="F15" s="7" t="str">
        <x:f>IF(ABS(D15)&lt;=E15,"OK","FAIL")</x:f>
        <x:v>OK</x:v>
      </x:c>
      <x:c r="G15" s="7" t="str">
        <x:v>Monthly Model!17:18</x:v>
      </x:c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44" t="str">
        <x:v>PASS означает, что внутренние формулы и контрольные связи сходятся. Это не подтверждает коммерческие гипотезы, налоговую квалификацию или точность пользовательских допущений.</x:v>
      </x:c>
      <x:c r="B18" s="44"/>
      <x:c r="C18" s="44"/>
      <x:c r="D18" s="44"/>
      <x:c r="E18" s="44"/>
      <x:c r="F18" s="44"/>
      <x:c r="G18" s="44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44"/>
      <x:c r="B19" s="44"/>
      <x:c r="C19" s="44"/>
      <x:c r="D19" s="44"/>
      <x:c r="E19" s="44"/>
      <x:c r="F19" s="44"/>
      <x:c r="G19" s="44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44"/>
      <x:c r="B20" s="44"/>
      <x:c r="C20" s="44"/>
      <x:c r="D20" s="44"/>
      <x:c r="E20" s="44"/>
      <x:c r="F20" s="44"/>
      <x:c r="G20" s="44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44"/>
      <x:c r="B21" s="44"/>
      <x:c r="C21" s="44"/>
      <x:c r="D21" s="44"/>
      <x:c r="E21" s="44"/>
      <x:c r="F21" s="44"/>
      <x:c r="G21" s="44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G1"/>
    <x:mergeCell ref="A18:G21"/>
  </x:mergeCells>
  <x:conditionalFormatting sqref="B3:B3">
    <x:cfRule type="containsText" dxfId="2" priority="1" operator="containsText" text="PASS"/>
    <x:cfRule type="containsText" dxfId="3" priority="2" operator="containsText" text="FAIL"/>
  </x:conditionalFormatting>
  <x:conditionalFormatting sqref="F7:F15">
    <x:cfRule type="containsText" dxfId="4" priority="3" operator="containsText" text="OK"/>
    <x:cfRule type="containsText" dxfId="5" priority="4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64" hidden="0" customWidth="1"/>
    <x:col min="8" max="8" width="42" hidden="0" customWidth="1"/>
  </x:cols>
  <x:sheetData>
    <x:row r="1" ht="34" customHeight="1">
      <x:c r="A1" s="6" t="str">
        <x:v>Nail Profit OS — Источники и аудит</x:v>
      </x:c>
      <x:c r="B1" s="6"/>
      <x:c r="C1" s="6"/>
      <x:c r="D1" s="6"/>
      <x:c r="E1" s="6"/>
      <x:c r="F1" s="6"/>
      <x:c r="G1" s="6"/>
      <x:c r="H1" s="6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3">
      <x:c r="A3" s="21" t="str">
        <x:v>ID</x:v>
      </x:c>
      <x:c r="B3" s="21" t="str">
        <x:v>Показатель</x:v>
      </x:c>
      <x:c r="C3" s="21" t="str">
        <x:v>Значение</x:v>
      </x:c>
      <x:c r="D3" s="21" t="str">
        <x:v>Единица</x:v>
      </x:c>
      <x:c r="E3" s="21" t="str">
        <x:v>As of</x:v>
      </x:c>
      <x:c r="F3" s="21" t="str">
        <x:v>Тип</x:v>
      </x:c>
      <x:c r="G3" s="21" t="str">
        <x:v>Источник / URL</x:v>
      </x:c>
      <x:c r="H3" s="21" t="str">
        <x:v>Примечание</x:v>
      </x:c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</x:row>
    <x:row r="4">
      <x:c r="A4" s="7" t="str">
        <x:v>S01</x:v>
      </x:c>
      <x:c r="B4" s="7" t="str">
        <x:v>Готовность платить</x:v>
      </x:c>
      <x:c r="C4" s="34" t="n">
        <x:v>3</x:v>
      </x:c>
      <x:c r="D4" s="7" t="str">
        <x:v>человека</x:v>
      </x:c>
      <x:c r="E4" s="7" t="str">
        <x:v>2026-08-02</x:v>
      </x:c>
      <x:c r="F4" s="7" t="str">
        <x:v>User validation</x:v>
      </x:c>
      <x:c r="G4" s="45" t="str">
        <x:v>Интервью пользователя</x:v>
      </x:c>
      <x:c r="H4" s="45" t="str">
        <x:v>Обещание пилота; ещё не фактическая выручка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</x:row>
    <x:row r="5">
      <x:c r="A5" s="7" t="str">
        <x:v>S02</x:v>
      </x:c>
      <x:c r="B5" s="7" t="str">
        <x:v>Пилотная цена</x:v>
      </x:c>
      <x:c r="C5" s="34" t="n">
        <x:v>300</x:v>
      </x:c>
      <x:c r="D5" s="7" t="str">
        <x:v>MDL/месяц</x:v>
      </x:c>
      <x:c r="E5" s="7" t="str">
        <x:v>2026-08-02</x:v>
      </x:c>
      <x:c r="F5" s="7" t="str">
        <x:v>User validation</x:v>
      </x:c>
      <x:c r="G5" s="45" t="str">
        <x:v>Интервью пользователя</x:v>
      </x:c>
      <x:c r="H5" s="45" t="str">
        <x:v>Цена проверки, не подтверждённый постоянный ARPA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</x:row>
    <x:row r="6">
      <x:c r="A6" s="7" t="str">
        <x:v>S03</x:v>
      </x:c>
      <x:c r="B6" s="7" t="str">
        <x:v>Fresha pricing</x:v>
      </x:c>
      <x:c r="C6" s="34"/>
      <x:c r="D6" s="7"/>
      <x:c r="E6" s="7" t="str">
        <x:v>2026-08-02</x:v>
      </x:c>
      <x:c r="F6" s="7" t="str">
        <x:v>Market reference</x:v>
      </x:c>
      <x:c r="G6" s="45" t="str">
        <x:v>https://www.fresha.com/pricing</x:v>
      </x:c>
      <x:c r="H6" s="45" t="str">
        <x:v>Актуальная структура тарифов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</x:row>
    <x:row r="7">
      <x:c r="A7" s="7" t="str">
        <x:v>S04</x:v>
      </x:c>
      <x:c r="B7" s="7" t="str">
        <x:v>DIKIDI costing</x:v>
      </x:c>
      <x:c r="C7" s="34"/>
      <x:c r="D7" s="7"/>
      <x:c r="E7" s="7" t="str">
        <x:v>2026-08-02</x:v>
      </x:c>
      <x:c r="F7" s="7" t="str">
        <x:v>Market reference</x:v>
      </x:c>
      <x:c r="G7" s="45" t="str">
        <x:v>https://support.dikidi.net/en/knowledge-bases/6/articles/629-how-to-choose-a-plan-for-your-business</x:v>
      </x:c>
      <x:c r="H7" s="45" t="str">
        <x:v>Конкурент уже заявляет cost-price функции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</x:row>
    <x:row r="8">
      <x:c r="A8" s="7" t="str">
        <x:v>S05</x:v>
      </x:c>
      <x:c r="B8" s="7" t="str">
        <x:v>YCLIENTS capabilities</x:v>
      </x:c>
      <x:c r="C8" s="34"/>
      <x:c r="D8" s="7"/>
      <x:c r="E8" s="7" t="str">
        <x:v>2026-08-02</x:v>
      </x:c>
      <x:c r="F8" s="7" t="str">
        <x:v>Market reference</x:v>
      </x:c>
      <x:c r="G8" s="45" t="str">
        <x:v>https://support.yclients.com/1-2-91--vozmozhnosti-yclients/</x:v>
      </x:c>
      <x:c r="H8" s="45" t="str">
        <x:v>Широкий финансовый и складской контур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</x:row>
    <x:row r="9">
      <x:c r="A9" s="7" t="str">
        <x:v>S06</x:v>
      </x:c>
      <x:c r="B9" s="7" t="str">
        <x:v>Stilio Moldova</x:v>
      </x:c>
      <x:c r="C9" s="34"/>
      <x:c r="D9" s="7"/>
      <x:c r="E9" s="7" t="str">
        <x:v>2026-08-02</x:v>
      </x:c>
      <x:c r="F9" s="7" t="str">
        <x:v>Market reference</x:v>
      </x:c>
      <x:c r="G9" s="45" t="str">
        <x:v>https://stilio.md/ru/about</x:v>
      </x:c>
      <x:c r="H9" s="45" t="str">
        <x:v>Локальный продукт записи и CRM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</x:row>
    <x:row r="10">
      <x:c r="A10" s="7" t="str">
        <x:v>S07</x:v>
      </x:c>
      <x:c r="B10" s="7" t="str">
        <x:v>Средняя зарплата 2026</x:v>
      </x:c>
      <x:c r="C10" s="34" t="n">
        <x:v>17400</x:v>
      </x:c>
      <x:c r="D10" s="7" t="str">
        <x:v>MDL/месяц</x:v>
      </x:c>
      <x:c r="E10" s="7" t="str">
        <x:v>2026-08-02</x:v>
      </x:c>
      <x:c r="F10" s="7" t="str">
        <x:v>Official</x:v>
      </x:c>
      <x:c r="G10" s="45" t="str">
        <x:v>https://gov.md/index.php/en/node/5613</x:v>
      </x:c>
      <x:c r="H10" s="45" t="str">
        <x:v>Прогнозируемая средняя зарплата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</x:row>
    <x:row r="11">
      <x:c r="A11" s="7" t="str">
        <x:v>S08</x:v>
      </x:c>
      <x:c r="B11" s="7" t="str">
        <x:v>MITP rate</x:v>
      </x:c>
      <x:c r="C11" s="38" t="n">
        <x:v>0.07</x:v>
      </x:c>
      <x:c r="D11" s="7" t="str">
        <x:v>% выручки</x:v>
      </x:c>
      <x:c r="E11" s="7" t="str">
        <x:v>2026-08-02</x:v>
      </x:c>
      <x:c r="F11" s="7" t="str">
        <x:v>Official</x:v>
      </x:c>
      <x:c r="G11" s="45" t="str">
        <x:v>https://mitp.md/ru/pochemu-mitp/o-edinom-naloge-7/</x:v>
      </x:c>
      <x:c r="H11" s="45" t="str">
        <x:v>Не ниже минимальной суммы</x:v>
      </x:c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</x:row>
    <x:row r="12">
      <x:c r="A12" s="7" t="str">
        <x:v>S09</x:v>
      </x:c>
      <x:c r="B12" s="7" t="str">
        <x:v>MITP minimum</x:v>
      </x:c>
      <x:c r="C12" s="38" t="n">
        <x:v>0.3</x:v>
      </x:c>
      <x:c r="D12" s="7" t="str">
        <x:v>% средней зарплаты/сотр.</x:v>
      </x:c>
      <x:c r="E12" s="7" t="str">
        <x:v>2026-08-02</x:v>
      </x:c>
      <x:c r="F12" s="7" t="str">
        <x:v>Official</x:v>
      </x:c>
      <x:c r="G12" s="45" t="str">
        <x:v>https://mitp.md/ru/pochemu-mitp/o-edinom-naloge-7/</x:v>
      </x:c>
      <x:c r="H12" s="45" t="str">
        <x:v>Проверить квалификацию с бухгалтером</x:v>
      </x:c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</x:row>
  </x:sheetData>
  <x:mergeCells>
    <x:mergeCell ref="A1:H1"/>
  </x:mergeCells>
  <x:pageMargins left="0.7" right="0.7" top="0.75" bottom="0.75" header="0.3" footer="0.3"/>
</x:worksheet>
</file>